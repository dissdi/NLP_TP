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검수 워크시트" sheetId="1" state="visible" r:id="rId3"/>
    <sheet name="검수 가이드" sheetId="2" state="visible" r:id="rId4"/>
    <sheet name="Enum 참조" sheetId="3" state="visible" r:id="rId5"/>
    <sheet name="진행률 대시보드" sheetId="4" state="visible" r:id="rId6"/>
  </sheets>
  <definedNames>
    <definedName function="false" hidden="true" localSheetId="0" name="_xlnm._FilterDatabase" vbProcedure="false">'검수 워크시트'!$A$1:$R$1000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<sst xmlns="http://schemas.openxmlformats.org/spreadsheetml/2006/main" count="233" uniqueCount="180">
  <si>
    <t xml:space="preserve">qa_id</t>
  </si>
  <si>
    <t xml:space="preserve">question</t>
  </si>
  <si>
    <t xml:space="preserve">answer_gold</t>
  </si>
  <si>
    <t xml:space="preserve">domain</t>
  </si>
  <si>
    <t xml:space="preserve">categories</t>
  </si>
  <si>
    <t xml:space="preserve">question_type</t>
  </si>
  <si>
    <t xml:space="preserve">expected_source_urls</t>
  </si>
  <si>
    <t xml:space="preserve">is_fallback_expected</t>
  </si>
  <si>
    <t xml:space="preserve">tags</t>
  </si>
  <si>
    <t xml:space="preserve">created_by</t>
  </si>
  <si>
    <t xml:space="preserve">gen_prompt_version</t>
  </si>
  <si>
    <t xml:space="preserve">created_at</t>
  </si>
  <si>
    <t xml:space="preserve">decision</t>
  </si>
  <si>
    <t xml:space="preserve">edited_question</t>
  </si>
  <si>
    <t xml:space="preserve">edited_answer</t>
  </si>
  <si>
    <t xml:space="preserve">edit_note</t>
  </si>
  <si>
    <t xml:space="preserve">reviewer</t>
  </si>
  <si>
    <t xml:space="preserve">reviewed_at</t>
  </si>
  <si>
    <t xml:space="preserve">S001</t>
  </si>
  <si>
    <r>
      <rPr>
        <sz val="10"/>
        <rFont val="맑은 고딕"/>
        <family val="0"/>
        <charset val="1"/>
      </rPr>
      <t xml:space="preserve">2026</t>
    </r>
    <r>
      <rPr>
        <sz val="10"/>
        <rFont val="DejaVu Sans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학기 수강신청 정정 기간은 언제까지인가요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</si>
  <si>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2026</t>
    </r>
    <r>
      <rPr>
        <sz val="10"/>
        <rFont val="DejaVu Sans"/>
        <family val="2"/>
      </rPr>
      <t xml:space="preserve">학년도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학기 수강신청 정정 기간은 </t>
    </r>
    <r>
      <rPr>
        <sz val="10"/>
        <rFont val="맑은 고딕"/>
        <family val="0"/>
        <charset val="1"/>
      </rPr>
      <t xml:space="preserve">2026</t>
    </r>
    <r>
      <rPr>
        <sz val="10"/>
        <rFont val="DejaVu Sans"/>
        <family val="2"/>
      </rPr>
      <t xml:space="preserve">년 </t>
    </r>
    <r>
      <rPr>
        <sz val="10"/>
        <rFont val="맑은 고딕"/>
        <family val="0"/>
        <charset val="1"/>
      </rPr>
      <t xml:space="preserve">3</t>
    </r>
    <r>
      <rPr>
        <sz val="10"/>
        <rFont val="DejaVu Sans"/>
        <family val="2"/>
      </rPr>
      <t xml:space="preserve">월 </t>
    </r>
    <r>
      <rPr>
        <sz val="10"/>
        <rFont val="맑은 고딕"/>
        <family val="0"/>
        <charset val="1"/>
      </rPr>
      <t xml:space="preserve">6</t>
    </r>
    <r>
      <rPr>
        <sz val="10"/>
        <rFont val="DejaVu Sans"/>
        <family val="2"/>
      </rPr>
      <t xml:space="preserve">일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금</t>
    </r>
    <r>
      <rPr>
        <sz val="10"/>
        <rFont val="맑은 고딕"/>
        <family val="0"/>
        <charset val="1"/>
      </rPr>
      <t xml:space="preserve">)</t>
    </r>
    <r>
      <rPr>
        <sz val="10"/>
        <rFont val="DejaVu Sans"/>
        <family val="2"/>
      </rPr>
      <t xml:space="preserve">까지입니다</t>
    </r>
    <r>
      <rPr>
        <sz val="10"/>
        <rFont val="맑은 고딕"/>
        <family val="0"/>
        <charset val="1"/>
      </rPr>
      <t xml:space="preserve">.</t>
    </r>
  </si>
  <si>
    <t xml:space="preserve">1.4</t>
  </si>
  <si>
    <t xml:space="preserve">A</t>
  </si>
  <si>
    <t xml:space="preserve">https://plus.cnu.ac.kr/html/kr/sub05/sub05_05020101_01.html</t>
  </si>
  <si>
    <t xml:space="preserve">FALSE</t>
  </si>
  <si>
    <r>
      <rPr>
        <sz val="10"/>
        <rFont val="DejaVu Sans"/>
        <family val="2"/>
      </rPr>
      <t xml:space="preserve">수강신청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학사일정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정정기간</t>
    </r>
  </si>
  <si>
    <t xml:space="preserve">human</t>
  </si>
  <si>
    <t xml:space="preserve">Accept</t>
  </si>
  <si>
    <t xml:space="preserve">샘플 — 형식 참고용</t>
  </si>
  <si>
    <t xml:space="preserve">human-d0</t>
  </si>
  <si>
    <t xml:space="preserve">2026-05-26</t>
  </si>
  <si>
    <t xml:space="preserve">S002</t>
  </si>
  <si>
    <r>
      <rPr>
        <sz val="10"/>
        <rFont val="DejaVu Sans"/>
        <family val="2"/>
      </rPr>
      <t xml:space="preserve">기숙사 입사 신청은 어떻게 하나요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</si>
  <si>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(1) </t>
    </r>
    <r>
      <rPr>
        <sz val="10"/>
        <rFont val="DejaVu Sans"/>
        <family val="2"/>
      </rPr>
      <t xml:space="preserve">매학기 모집 공고 확인 </t>
    </r>
    <r>
      <rPr>
        <sz val="10"/>
        <rFont val="맑은 고딕"/>
        <family val="0"/>
        <charset val="1"/>
      </rPr>
      <t xml:space="preserve">(2) </t>
    </r>
    <r>
      <rPr>
        <sz val="10"/>
        <rFont val="DejaVu Sans"/>
        <family val="2"/>
      </rPr>
      <t xml:space="preserve">온라인 신청 </t>
    </r>
    <r>
      <rPr>
        <sz val="10"/>
        <rFont val="맑은 고딕"/>
        <family val="0"/>
        <charset val="1"/>
      </rPr>
      <t xml:space="preserve">(3) </t>
    </r>
    <r>
      <rPr>
        <sz val="10"/>
        <rFont val="DejaVu Sans"/>
        <family val="2"/>
      </rPr>
      <t xml:space="preserve">합격 발표 확인 </t>
    </r>
    <r>
      <rPr>
        <sz val="10"/>
        <rFont val="맑은 고딕"/>
        <family val="0"/>
        <charset val="1"/>
      </rPr>
      <t xml:space="preserve">(4) </t>
    </r>
    <r>
      <rPr>
        <sz val="10"/>
        <rFont val="DejaVu Sans"/>
        <family val="2"/>
      </rPr>
      <t xml:space="preserve">사생비 납부 </t>
    </r>
    <r>
      <rPr>
        <sz val="10"/>
        <rFont val="맑은 고딕"/>
        <family val="0"/>
        <charset val="1"/>
      </rPr>
      <t xml:space="preserve">(5) </t>
    </r>
    <r>
      <rPr>
        <sz val="10"/>
        <rFont val="DejaVu Sans"/>
        <family val="2"/>
      </rPr>
      <t xml:space="preserve">입사</t>
    </r>
  </si>
  <si>
    <t xml:space="preserve">4.2</t>
  </si>
  <si>
    <t xml:space="preserve">B</t>
  </si>
  <si>
    <t xml:space="preserve">https://dorm.cnu.ac.kr/dorm/info/notice.do, https://dorm.cnu.ac.kr/dorm/info/howto.do</t>
  </si>
  <si>
    <r>
      <rPr>
        <sz val="10"/>
        <rFont val="DejaVu Sans"/>
        <family val="2"/>
      </rPr>
      <t xml:space="preserve">기숙사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입사신청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절차</t>
    </r>
  </si>
  <si>
    <t xml:space="preserve">S004</t>
  </si>
  <si>
    <r>
      <rPr>
        <sz val="10"/>
        <rFont val="DejaVu Sans"/>
        <family val="2"/>
      </rPr>
      <t xml:space="preserve">충남대학교 컴퓨터공학과의 </t>
    </r>
    <r>
      <rPr>
        <sz val="10"/>
        <rFont val="맑은 고딕"/>
        <family val="0"/>
        <charset val="1"/>
      </rPr>
      <t xml:space="preserve">2024</t>
    </r>
    <r>
      <rPr>
        <sz val="10"/>
        <rFont val="DejaVu Sans"/>
        <family val="2"/>
      </rPr>
      <t xml:space="preserve">년 졸업자 취업률은</t>
    </r>
    <r>
      <rPr>
        <sz val="10"/>
        <rFont val="맑은 고딕"/>
        <family val="0"/>
        <charset val="1"/>
      </rPr>
      <t xml:space="preserve">?</t>
    </r>
  </si>
  <si>
    <r>
      <rPr>
        <sz val="10"/>
        <rFont val="맑은 고딕"/>
        <family val="0"/>
        <charset val="1"/>
      </rPr>
      <t xml:space="preserve">(corpus </t>
    </r>
    <r>
      <rPr>
        <sz val="10"/>
        <rFont val="DejaVu Sans"/>
        <family val="2"/>
      </rPr>
      <t xml:space="preserve">빌드 후 채움</t>
    </r>
    <r>
      <rPr>
        <sz val="10"/>
        <rFont val="맑은 고딕"/>
        <family val="0"/>
        <charset val="1"/>
      </rPr>
      <t xml:space="preserve">)</t>
    </r>
  </si>
  <si>
    <t xml:space="preserve">7.5</t>
  </si>
  <si>
    <t xml:space="preserve">D</t>
  </si>
  <si>
    <t xml:space="preserve">https://www.academyinfo.go.kr/popup/...</t>
  </si>
  <si>
    <r>
      <rPr>
        <sz val="10"/>
        <rFont val="DejaVu Sans"/>
        <family val="2"/>
      </rPr>
      <t xml:space="preserve">취업률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컴퓨터공학과</t>
    </r>
    <r>
      <rPr>
        <sz val="10"/>
        <rFont val="맑은 고딕"/>
        <family val="0"/>
        <charset val="1"/>
      </rPr>
      <t xml:space="preserve">,</t>
    </r>
    <r>
      <rPr>
        <sz val="10"/>
        <rFont val="DejaVu Sans"/>
        <family val="2"/>
      </rPr>
      <t xml:space="preserve">통계</t>
    </r>
  </si>
  <si>
    <t xml:space="preserve">Reject</t>
  </si>
  <si>
    <r>
      <rPr>
        <sz val="10"/>
        <rFont val="DejaVu Sans"/>
        <family val="2"/>
      </rPr>
      <t xml:space="preserve">예시</t>
    </r>
    <r>
      <rPr>
        <sz val="10"/>
        <rFont val="맑은 고딕"/>
        <family val="0"/>
        <charset val="1"/>
      </rPr>
      <t xml:space="preserve">: placeholder </t>
    </r>
    <r>
      <rPr>
        <sz val="10"/>
        <rFont val="DejaVu Sans"/>
        <family val="2"/>
      </rPr>
      <t xml:space="preserve">남아있어 </t>
    </r>
    <r>
      <rPr>
        <sz val="10"/>
        <rFont val="맑은 고딕"/>
        <family val="0"/>
        <charset val="1"/>
      </rPr>
      <t xml:space="preserve">Reject. D-1</t>
    </r>
    <r>
      <rPr>
        <sz val="10"/>
        <rFont val="DejaVu Sans"/>
        <family val="2"/>
      </rPr>
      <t xml:space="preserve">에서는 실제 값 채워 재생성</t>
    </r>
  </si>
  <si>
    <r>
      <rPr>
        <b val="true"/>
        <sz val="14"/>
        <color rgb="FF2F5597"/>
        <rFont val="맑은 고딕"/>
        <family val="0"/>
        <charset val="1"/>
      </rPr>
      <t xml:space="preserve">Phase D-2 </t>
    </r>
    <r>
      <rPr>
        <b val="true"/>
        <sz val="14"/>
        <color rgb="FF2F5597"/>
        <rFont val="DejaVu Sans"/>
        <family val="2"/>
      </rPr>
      <t xml:space="preserve">검수 빠른 참조</t>
    </r>
  </si>
  <si>
    <r>
      <rPr>
        <b val="true"/>
        <sz val="11"/>
        <color rgb="FF2F5597"/>
        <rFont val="맑은 고딕"/>
        <family val="0"/>
        <charset val="1"/>
      </rPr>
      <t xml:space="preserve">North Star: </t>
    </r>
    <r>
      <rPr>
        <b val="true"/>
        <sz val="11"/>
        <color rgb="FF2F5597"/>
        <rFont val="DejaVu Sans"/>
        <family val="2"/>
      </rPr>
      <t xml:space="preserve">정확성 </t>
    </r>
    <r>
      <rPr>
        <b val="true"/>
        <sz val="11"/>
        <color rgb="FF2F5597"/>
        <rFont val="맑은 고딕"/>
        <family val="0"/>
        <charset val="1"/>
      </rPr>
      <t xml:space="preserve">&gt; </t>
    </r>
    <r>
      <rPr>
        <b val="true"/>
        <sz val="11"/>
        <color rgb="FF2F5597"/>
        <rFont val="DejaVu Sans"/>
        <family val="2"/>
      </rPr>
      <t xml:space="preserve">자연스러움 </t>
    </r>
    <r>
      <rPr>
        <b val="true"/>
        <sz val="11"/>
        <color rgb="FF2F5597"/>
        <rFont val="맑은 고딕"/>
        <family val="0"/>
        <charset val="1"/>
      </rPr>
      <t xml:space="preserve">&gt; </t>
    </r>
    <r>
      <rPr>
        <b val="true"/>
        <sz val="11"/>
        <color rgb="FF2F5597"/>
        <rFont val="DejaVu Sans"/>
        <family val="2"/>
      </rPr>
      <t xml:space="preserve">표현</t>
    </r>
  </si>
  <si>
    <r>
      <rPr>
        <sz val="10"/>
        <rFont val="DejaVu Sans"/>
        <family val="2"/>
      </rPr>
      <t xml:space="preserve">애매하면 </t>
    </r>
    <r>
      <rPr>
        <sz val="10"/>
        <rFont val="맑은 고딕"/>
        <family val="0"/>
        <charset val="1"/>
      </rPr>
      <t xml:space="preserve">Reject. Edit</t>
    </r>
    <r>
      <rPr>
        <sz val="10"/>
        <rFont val="DejaVu Sans"/>
        <family val="2"/>
      </rPr>
      <t xml:space="preserve">로 살리려고 시간 쓰지 말 것</t>
    </r>
    <r>
      <rPr>
        <sz val="10"/>
        <rFont val="맑은 고딕"/>
        <family val="0"/>
        <charset val="1"/>
      </rPr>
      <t xml:space="preserve">.</t>
    </r>
  </si>
  <si>
    <r>
      <rPr>
        <sz val="10"/>
        <rFont val="DejaVu Sans"/>
        <family val="2"/>
      </rPr>
      <t xml:space="preserve">자세한 규칙</t>
    </r>
    <r>
      <rPr>
        <sz val="10"/>
        <rFont val="맑은 고딕"/>
        <family val="0"/>
        <charset val="1"/>
      </rPr>
      <t xml:space="preserve">: eval/eval-rubric.md </t>
    </r>
    <r>
      <rPr>
        <sz val="10"/>
        <rFont val="DejaVu Sans"/>
        <family val="2"/>
      </rPr>
      <t xml:space="preserve">참조</t>
    </r>
  </si>
  <si>
    <r>
      <rPr>
        <b val="true"/>
        <sz val="11"/>
        <color rgb="FF2F5597"/>
        <rFont val="맑은 고딕"/>
        <family val="0"/>
        <charset val="1"/>
      </rPr>
      <t xml:space="preserve">3-way </t>
    </r>
    <r>
      <rPr>
        <b val="true"/>
        <sz val="11"/>
        <color rgb="FF2F5597"/>
        <rFont val="DejaVu Sans"/>
        <family val="2"/>
      </rPr>
      <t xml:space="preserve">의사결정</t>
    </r>
  </si>
  <si>
    <r>
      <rPr>
        <sz val="10"/>
        <rFont val="맑은 고딕"/>
        <family val="0"/>
        <charset val="1"/>
      </rPr>
      <t xml:space="preserve">Accept: </t>
    </r>
    <r>
      <rPr>
        <sz val="10"/>
        <rFont val="DejaVu Sans"/>
        <family val="2"/>
      </rPr>
      <t xml:space="preserve">변경 없이 그대로 통과</t>
    </r>
    <r>
      <rPr>
        <sz val="10"/>
        <rFont val="맑은 고딕"/>
        <family val="0"/>
        <charset val="1"/>
      </rPr>
      <t xml:space="preserve">. final set</t>
    </r>
    <r>
      <rPr>
        <sz val="10"/>
        <rFont val="DejaVu Sans"/>
        <family val="2"/>
      </rPr>
      <t xml:space="preserve">에 포함</t>
    </r>
  </si>
  <si>
    <r>
      <rPr>
        <sz val="10"/>
        <rFont val="맑은 고딕"/>
        <family val="0"/>
        <charset val="1"/>
      </rPr>
      <t xml:space="preserve">Edit: </t>
    </r>
    <r>
      <rPr>
        <sz val="10"/>
        <rFont val="DejaVu Sans"/>
        <family val="2"/>
      </rPr>
      <t xml:space="preserve">핵심 사실은 맞으나 표현</t>
    </r>
    <r>
      <rPr>
        <sz val="10"/>
        <rFont val="맑은 고딕"/>
        <family val="0"/>
        <charset val="1"/>
      </rPr>
      <t xml:space="preserve">/source </t>
    </r>
    <r>
      <rPr>
        <sz val="10"/>
        <rFont val="DejaVu Sans"/>
        <family val="2"/>
      </rPr>
      <t xml:space="preserve">일부 보정</t>
    </r>
    <r>
      <rPr>
        <sz val="10"/>
        <rFont val="맑은 고딕"/>
        <family val="0"/>
        <charset val="1"/>
      </rPr>
      <t xml:space="preserve">. edited_* </t>
    </r>
    <r>
      <rPr>
        <sz val="10"/>
        <rFont val="DejaVu Sans"/>
        <family val="2"/>
      </rPr>
      <t xml:space="preserve">컬럼과 </t>
    </r>
    <r>
      <rPr>
        <sz val="10"/>
        <rFont val="맑은 고딕"/>
        <family val="0"/>
        <charset val="1"/>
      </rPr>
      <t xml:space="preserve">edit_note </t>
    </r>
    <r>
      <rPr>
        <sz val="10"/>
        <rFont val="DejaVu Sans"/>
        <family val="2"/>
      </rPr>
      <t xml:space="preserve">채움</t>
    </r>
  </si>
  <si>
    <r>
      <rPr>
        <sz val="10"/>
        <rFont val="맑은 고딕"/>
        <family val="0"/>
        <charset val="1"/>
      </rPr>
      <t xml:space="preserve">Reject: </t>
    </r>
    <r>
      <rPr>
        <sz val="10"/>
        <rFont val="DejaVu Sans"/>
        <family val="2"/>
      </rPr>
      <t xml:space="preserve">정답 틀림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모호함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근거 없음</t>
    </r>
    <r>
      <rPr>
        <sz val="10"/>
        <rFont val="맑은 고딕"/>
        <family val="0"/>
        <charset val="1"/>
      </rPr>
      <t xml:space="preserve">/</t>
    </r>
    <r>
      <rPr>
        <sz val="10"/>
        <rFont val="DejaVu Sans"/>
        <family val="2"/>
      </rPr>
      <t xml:space="preserve">질문 부적절</t>
    </r>
    <r>
      <rPr>
        <sz val="10"/>
        <rFont val="맑은 고딕"/>
        <family val="0"/>
        <charset val="1"/>
      </rPr>
      <t xml:space="preserve">. final set </t>
    </r>
    <r>
      <rPr>
        <sz val="10"/>
        <rFont val="DejaVu Sans"/>
        <family val="2"/>
      </rPr>
      <t xml:space="preserve">제외</t>
    </r>
    <r>
      <rPr>
        <sz val="10"/>
        <rFont val="맑은 고딕"/>
        <family val="0"/>
        <charset val="1"/>
      </rPr>
      <t xml:space="preserve">. edit_note</t>
    </r>
    <r>
      <rPr>
        <sz val="10"/>
        <rFont val="DejaVu Sans"/>
        <family val="2"/>
      </rPr>
      <t xml:space="preserve">에 사유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줄</t>
    </r>
  </si>
  <si>
    <r>
      <rPr>
        <b val="true"/>
        <sz val="11"/>
        <color rgb="FF2F5597"/>
        <rFont val="DejaVu Sans"/>
        <family val="2"/>
      </rPr>
      <t xml:space="preserve">타입별 </t>
    </r>
    <r>
      <rPr>
        <b val="true"/>
        <sz val="11"/>
        <color rgb="FF2F5597"/>
        <rFont val="맑은 고딕"/>
        <family val="0"/>
        <charset val="1"/>
      </rPr>
      <t xml:space="preserve">Reject </t>
    </r>
    <r>
      <rPr>
        <b val="true"/>
        <sz val="11"/>
        <color rgb="FF2F5597"/>
        <rFont val="DejaVu Sans"/>
        <family val="2"/>
      </rPr>
      <t xml:space="preserve">시그널 </t>
    </r>
    <r>
      <rPr>
        <b val="true"/>
        <sz val="11"/>
        <color rgb="FF2F5597"/>
        <rFont val="맑은 고딕"/>
        <family val="0"/>
        <charset val="1"/>
      </rPr>
      <t xml:space="preserve">(</t>
    </r>
    <r>
      <rPr>
        <b val="true"/>
        <sz val="11"/>
        <color rgb="FF2F5597"/>
        <rFont val="DejaVu Sans"/>
        <family val="2"/>
      </rPr>
      <t xml:space="preserve">빠른 체크</t>
    </r>
    <r>
      <rPr>
        <b val="true"/>
        <sz val="11"/>
        <color rgb="FF2F5597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</si>
  <si>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A </t>
    </r>
    <r>
      <rPr>
        <sz val="10"/>
        <rFont val="DejaVu Sans"/>
        <family val="2"/>
      </rPr>
      <t xml:space="preserve">사실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숫자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날짜가 </t>
    </r>
    <r>
      <rPr>
        <sz val="10"/>
        <rFont val="맑은 고딕"/>
        <family val="0"/>
        <charset val="1"/>
      </rPr>
      <t xml:space="preserve">chunk</t>
    </r>
    <r>
      <rPr>
        <sz val="10"/>
        <rFont val="DejaVu Sans"/>
        <family val="2"/>
      </rPr>
      <t xml:space="preserve">와 다름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단정 표현으로 임의 변경</t>
    </r>
  </si>
  <si>
    <r>
      <rPr>
        <sz val="10"/>
        <rFont val="맑은 고딕"/>
        <family val="0"/>
        <charset val="1"/>
      </rPr>
      <t xml:space="preserve">B </t>
    </r>
    <r>
      <rPr>
        <sz val="10"/>
        <rFont val="DejaVu Sans"/>
        <family val="2"/>
      </rPr>
      <t xml:space="preserve">절차</t>
    </r>
    <r>
      <rPr>
        <sz val="10"/>
        <rFont val="맑은 고딕"/>
        <family val="0"/>
        <charset val="1"/>
      </rPr>
      <t xml:space="preserve">: chunk</t>
    </r>
    <r>
      <rPr>
        <sz val="10"/>
        <rFont val="DejaVu Sans"/>
        <family val="2"/>
      </rPr>
      <t xml:space="preserve">에 없는 단계 추가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단계 순서 모순</t>
    </r>
  </si>
  <si>
    <r>
      <rPr>
        <sz val="10"/>
        <rFont val="맑은 고딕"/>
        <family val="0"/>
        <charset val="1"/>
      </rPr>
      <t xml:space="preserve">C </t>
    </r>
    <r>
      <rPr>
        <sz val="10"/>
        <rFont val="DejaVu Sans"/>
        <family val="2"/>
      </rPr>
      <t xml:space="preserve">비교</t>
    </r>
    <r>
      <rPr>
        <sz val="10"/>
        <rFont val="맑은 고딕"/>
        <family val="0"/>
        <charset val="1"/>
      </rPr>
      <t xml:space="preserve">: </t>
    </r>
    <r>
      <rPr>
        <sz val="10"/>
        <rFont val="DejaVu Sans"/>
        <family val="2"/>
      </rPr>
      <t xml:space="preserve">비교 대상 중 하나만 </t>
    </r>
    <r>
      <rPr>
        <sz val="10"/>
        <rFont val="맑은 고딕"/>
        <family val="0"/>
        <charset val="1"/>
      </rPr>
      <t xml:space="preserve">chunk</t>
    </r>
    <r>
      <rPr>
        <sz val="10"/>
        <rFont val="DejaVu Sans"/>
        <family val="2"/>
      </rPr>
      <t xml:space="preserve">에 있고 나머지는 환각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비교 결론 반대</t>
    </r>
  </si>
  <si>
    <r>
      <rPr>
        <sz val="10"/>
        <rFont val="맑은 고딕"/>
        <family val="0"/>
        <charset val="1"/>
      </rPr>
      <t xml:space="preserve">D </t>
    </r>
    <r>
      <rPr>
        <sz val="10"/>
        <rFont val="DejaVu Sans"/>
        <family val="2"/>
      </rPr>
      <t xml:space="preserve">통계</t>
    </r>
    <r>
      <rPr>
        <sz val="10"/>
        <rFont val="맑은 고딕"/>
        <family val="0"/>
        <charset val="1"/>
      </rPr>
      <t xml:space="preserve">: placeholder </t>
    </r>
    <r>
      <rPr>
        <sz val="10"/>
        <rFont val="DejaVu Sans"/>
        <family val="2"/>
      </rPr>
      <t xml:space="preserve">남아있음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자동 </t>
    </r>
    <r>
      <rPr>
        <sz val="10"/>
        <rFont val="맑은 고딕"/>
        <family val="0"/>
        <charset val="1"/>
      </rPr>
      <t xml:space="preserve">Reject) / </t>
    </r>
    <r>
      <rPr>
        <sz val="10"/>
        <rFont val="DejaVu Sans"/>
        <family val="2"/>
      </rPr>
      <t xml:space="preserve">단위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기준연도 누락</t>
    </r>
  </si>
  <si>
    <r>
      <rPr>
        <b val="true"/>
        <sz val="11"/>
        <color rgb="FF2F5597"/>
        <rFont val="DejaVu Sans"/>
        <family val="2"/>
      </rPr>
      <t xml:space="preserve">공통 </t>
    </r>
    <r>
      <rPr>
        <b val="true"/>
        <sz val="11"/>
        <color rgb="FF2F5597"/>
        <rFont val="맑은 고딕"/>
        <family val="0"/>
        <charset val="1"/>
      </rPr>
      <t xml:space="preserve">9 </t>
    </r>
    <r>
      <rPr>
        <b val="true"/>
        <sz val="11"/>
        <color rgb="FF2F5597"/>
        <rFont val="DejaVu Sans"/>
        <family val="2"/>
      </rPr>
      <t xml:space="preserve">체크리스트 </t>
    </r>
    <r>
      <rPr>
        <b val="true"/>
        <sz val="11"/>
        <color rgb="FF2F5597"/>
        <rFont val="맑은 고딕"/>
        <family val="0"/>
        <charset val="1"/>
      </rPr>
      <t xml:space="preserve">(</t>
    </r>
    <r>
      <rPr>
        <b val="true"/>
        <sz val="11"/>
        <color rgb="FF2F5597"/>
        <rFont val="DejaVu Sans"/>
        <family val="2"/>
      </rPr>
      <t xml:space="preserve">모두 통과해야 </t>
    </r>
    <r>
      <rPr>
        <b val="true"/>
        <sz val="11"/>
        <color rgb="FF2F5597"/>
        <rFont val="맑은 고딕"/>
        <family val="0"/>
        <charset val="1"/>
      </rPr>
      <t xml:space="preserve">Accept)</t>
    </r>
  </si>
  <si>
    <r>
      <rPr>
        <sz val="10"/>
        <rFont val="맑은 고딕"/>
        <family val="0"/>
        <charset val="1"/>
      </rPr>
      <t xml:space="preserve">1. question </t>
    </r>
    <r>
      <rPr>
        <sz val="10"/>
        <rFont val="DejaVu Sans"/>
        <family val="2"/>
      </rPr>
      <t xml:space="preserve">한국어로 자연스러움</t>
    </r>
  </si>
  <si>
    <r>
      <rPr>
        <sz val="10"/>
        <rFont val="맑은 고딕"/>
        <family val="0"/>
        <charset val="1"/>
      </rPr>
      <t xml:space="preserve">2. question </t>
    </r>
    <r>
      <rPr>
        <sz val="10"/>
        <rFont val="DejaVu Sans"/>
        <family val="2"/>
      </rPr>
      <t xml:space="preserve">단답 가능한 구체성</t>
    </r>
  </si>
  <si>
    <r>
      <rPr>
        <sz val="10"/>
        <rFont val="맑은 고딕"/>
        <family val="0"/>
        <charset val="1"/>
      </rPr>
      <t xml:space="preserve">3. answer_gold</t>
    </r>
    <r>
      <rPr>
        <sz val="10"/>
        <rFont val="DejaVu Sans"/>
        <family val="2"/>
      </rPr>
      <t xml:space="preserve">가 </t>
    </r>
    <r>
      <rPr>
        <sz val="10"/>
        <rFont val="맑은 고딕"/>
        <family val="0"/>
        <charset val="1"/>
      </rPr>
      <t xml:space="preserve">chunk </t>
    </r>
    <r>
      <rPr>
        <sz val="10"/>
        <rFont val="DejaVu Sans"/>
        <family val="2"/>
      </rPr>
      <t xml:space="preserve">본문에 근거 있음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환각 </t>
    </r>
    <r>
      <rPr>
        <sz val="10"/>
        <rFont val="맑은 고딕"/>
        <family val="0"/>
        <charset val="1"/>
      </rPr>
      <t xml:space="preserve">X)</t>
    </r>
  </si>
  <si>
    <r>
      <rPr>
        <sz val="10"/>
        <rFont val="맑은 고딕"/>
        <family val="0"/>
        <charset val="1"/>
      </rPr>
      <t xml:space="preserve">4. answer_gold</t>
    </r>
    <r>
      <rPr>
        <sz val="10"/>
        <rFont val="DejaVu Sans"/>
        <family val="2"/>
      </rPr>
      <t xml:space="preserve">에 외부 일반 지식 없음</t>
    </r>
  </si>
  <si>
    <r>
      <rPr>
        <sz val="10"/>
        <rFont val="맑은 고딕"/>
        <family val="0"/>
        <charset val="1"/>
      </rPr>
      <t xml:space="preserve">5. expected_source_urls </t>
    </r>
    <r>
      <rPr>
        <sz val="10"/>
        <rFont val="DejaVu Sans"/>
        <family val="2"/>
      </rPr>
      <t xml:space="preserve">모두 </t>
    </r>
    <r>
      <rPr>
        <sz val="10"/>
        <rFont val="맑은 고딕"/>
        <family val="0"/>
        <charset val="1"/>
      </rPr>
      <t xml:space="preserve">corpus</t>
    </r>
    <r>
      <rPr>
        <sz val="10"/>
        <rFont val="DejaVu Sans"/>
        <family val="2"/>
      </rPr>
      <t xml:space="preserve">에 존재</t>
    </r>
  </si>
  <si>
    <r>
      <rPr>
        <sz val="10"/>
        <rFont val="맑은 고딕"/>
        <family val="0"/>
        <charset val="1"/>
      </rPr>
      <t xml:space="preserve">6. domain·categories</t>
    </r>
    <r>
      <rPr>
        <sz val="10"/>
        <rFont val="DejaVu Sans"/>
        <family val="2"/>
      </rPr>
      <t xml:space="preserve">가 답 내용과 일치</t>
    </r>
  </si>
  <si>
    <r>
      <rPr>
        <sz val="10"/>
        <rFont val="맑은 고딕"/>
        <family val="0"/>
        <charset val="1"/>
      </rPr>
      <t xml:space="preserve">7. question_type</t>
    </r>
    <r>
      <rPr>
        <sz val="10"/>
        <rFont val="DejaVu Sans"/>
        <family val="2"/>
      </rPr>
      <t xml:space="preserve">이 답변 형태와 일치</t>
    </r>
  </si>
  <si>
    <r>
      <rPr>
        <sz val="10"/>
        <rFont val="맑은 고딕"/>
        <family val="0"/>
        <charset val="1"/>
      </rPr>
      <t xml:space="preserve">8. tags </t>
    </r>
    <r>
      <rPr>
        <sz val="10"/>
        <rFont val="DejaVu Sans"/>
        <family val="2"/>
      </rPr>
      <t xml:space="preserve">최소 </t>
    </r>
    <r>
      <rPr>
        <sz val="10"/>
        <rFont val="맑은 고딕"/>
        <family val="0"/>
        <charset val="1"/>
      </rPr>
      <t xml:space="preserve">2</t>
    </r>
    <r>
      <rPr>
        <sz val="10"/>
        <rFont val="DejaVu Sans"/>
        <family val="2"/>
      </rPr>
      <t xml:space="preserve">개 </t>
    </r>
    <r>
      <rPr>
        <sz val="10"/>
        <rFont val="맑은 고딕"/>
        <family val="0"/>
        <charset val="1"/>
      </rPr>
      <t xml:space="preserve">+ </t>
    </r>
    <r>
      <rPr>
        <sz val="10"/>
        <rFont val="DejaVu Sans"/>
        <family val="2"/>
      </rPr>
      <t xml:space="preserve">검색 키워드 포함</t>
    </r>
  </si>
  <si>
    <r>
      <rPr>
        <sz val="10"/>
        <rFont val="맑은 고딕"/>
        <family val="0"/>
        <charset val="1"/>
      </rPr>
      <t xml:space="preserve">9. is_fallback_expected </t>
    </r>
    <r>
      <rPr>
        <sz val="10"/>
        <rFont val="DejaVu Sans"/>
        <family val="2"/>
      </rPr>
      <t xml:space="preserve">플래그 정확</t>
    </r>
  </si>
  <si>
    <t xml:space="preserve">Fallback Expected (is_fallback_expected=TRUE)</t>
  </si>
  <si>
    <r>
      <rPr>
        <sz val="10"/>
        <rFont val="맑은 고딕"/>
        <family val="0"/>
        <charset val="1"/>
      </rPr>
      <t xml:space="preserve">Out of Scope / Sparse </t>
    </r>
    <r>
      <rPr>
        <sz val="10"/>
        <rFont val="DejaVu Sans"/>
        <family val="2"/>
      </rPr>
      <t xml:space="preserve">도메인 </t>
    </r>
    <r>
      <rPr>
        <sz val="10"/>
        <rFont val="맑은 고딕"/>
        <family val="0"/>
        <charset val="1"/>
      </rPr>
      <t xml:space="preserve">/ </t>
    </r>
    <r>
      <rPr>
        <sz val="10"/>
        <rFont val="DejaVu Sans"/>
        <family val="2"/>
      </rPr>
      <t xml:space="preserve">비공개 정보 영역</t>
    </r>
  </si>
  <si>
    <r>
      <rPr>
        <sz val="10"/>
        <rFont val="맑은 고딕"/>
        <family val="0"/>
        <charset val="1"/>
      </rPr>
      <t xml:space="preserve">answer_gold = </t>
    </r>
    <r>
      <rPr>
        <sz val="10"/>
        <rFont val="DejaVu Sans"/>
        <family val="2"/>
      </rPr>
      <t xml:space="preserve">시스템이 내야 할 </t>
    </r>
    <r>
      <rPr>
        <sz val="10"/>
        <rFont val="맑은 고딕"/>
        <family val="0"/>
        <charset val="1"/>
      </rPr>
      <t xml:space="preserve">fallback </t>
    </r>
    <r>
      <rPr>
        <sz val="10"/>
        <rFont val="DejaVu Sans"/>
        <family val="2"/>
      </rPr>
      <t xml:space="preserve">메시지 핵심</t>
    </r>
  </si>
  <si>
    <r>
      <rPr>
        <sz val="10"/>
        <rFont val="맑은 고딕"/>
        <family val="0"/>
        <charset val="1"/>
      </rPr>
      <t xml:space="preserve">expected_source_urls = [] </t>
    </r>
    <r>
      <rPr>
        <sz val="10"/>
        <rFont val="DejaVu Sans"/>
        <family val="2"/>
      </rPr>
      <t xml:space="preserve">또는 안내 페이지 </t>
    </r>
    <r>
      <rPr>
        <sz val="10"/>
        <rFont val="맑은 고딕"/>
        <family val="0"/>
        <charset val="1"/>
      </rPr>
      <t xml:space="preserve">1</t>
    </r>
    <r>
      <rPr>
        <sz val="10"/>
        <rFont val="DejaVu Sans"/>
        <family val="2"/>
      </rPr>
      <t xml:space="preserve">개</t>
    </r>
  </si>
  <si>
    <r>
      <rPr>
        <sz val="10"/>
        <rFont val="DejaVu Sans"/>
        <family val="2"/>
      </rPr>
      <t xml:space="preserve">전체 </t>
    </r>
    <r>
      <rPr>
        <sz val="10"/>
        <rFont val="맑은 고딕"/>
        <family val="0"/>
        <charset val="1"/>
      </rPr>
      <t xml:space="preserve">~170</t>
    </r>
    <r>
      <rPr>
        <sz val="10"/>
        <rFont val="DejaVu Sans"/>
        <family val="2"/>
      </rPr>
      <t xml:space="preserve">문제 중 </t>
    </r>
    <r>
      <rPr>
        <sz val="10"/>
        <rFont val="맑은 고딕"/>
        <family val="0"/>
        <charset val="1"/>
      </rPr>
      <t xml:space="preserve">10~20</t>
    </r>
    <r>
      <rPr>
        <sz val="10"/>
        <rFont val="DejaVu Sans"/>
        <family val="2"/>
      </rPr>
      <t xml:space="preserve">개</t>
    </r>
    <r>
      <rPr>
        <sz val="10"/>
        <rFont val="맑은 고딕"/>
        <family val="0"/>
        <charset val="1"/>
      </rPr>
      <t xml:space="preserve">(6~12%) </t>
    </r>
    <r>
      <rPr>
        <sz val="10"/>
        <rFont val="DejaVu Sans"/>
        <family val="2"/>
      </rPr>
      <t xml:space="preserve">목표</t>
    </r>
  </si>
  <si>
    <t xml:space="preserve">운영 팁</t>
  </si>
  <si>
    <r>
      <rPr>
        <sz val="10"/>
        <rFont val="맑은 고딕"/>
        <family val="0"/>
        <charset val="1"/>
      </rPr>
      <t xml:space="preserve">1) </t>
    </r>
    <r>
      <rPr>
        <sz val="10"/>
        <rFont val="DejaVu Sans"/>
        <family val="2"/>
      </rPr>
      <t xml:space="preserve">도메인별로 정렬 후 한 도메인씩 검수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일관성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</si>
  <si>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2) </t>
    </r>
    <r>
      <rPr>
        <sz val="10"/>
        <rFont val="DejaVu Sans"/>
        <family val="2"/>
      </rPr>
      <t xml:space="preserve">평가 가중치 큰 학사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도서관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장학 먼저</t>
    </r>
  </si>
  <si>
    <r>
      <rPr>
        <sz val="10"/>
        <rFont val="맑은 고딕"/>
        <family val="0"/>
        <charset val="1"/>
      </rPr>
      <t xml:space="preserve">3) </t>
    </r>
    <r>
      <rPr>
        <sz val="10"/>
        <rFont val="DejaVu Sans"/>
        <family val="2"/>
      </rPr>
      <t xml:space="preserve">첫 </t>
    </r>
    <r>
      <rPr>
        <sz val="10"/>
        <rFont val="맑은 고딕"/>
        <family val="0"/>
        <charset val="1"/>
      </rPr>
      <t xml:space="preserve">20</t>
    </r>
    <r>
      <rPr>
        <sz val="10"/>
        <rFont val="DejaVu Sans"/>
        <family val="2"/>
      </rPr>
      <t xml:space="preserve">문제는 보수적으로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자기 기준 캘리브레이션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</si>
  <si>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4) </t>
    </r>
    <r>
      <rPr>
        <sz val="10"/>
        <rFont val="DejaVu Sans"/>
        <family val="2"/>
      </rPr>
      <t xml:space="preserve">한 도메인 끝나면 잠깐 쉼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피로 누적 방지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</si>
  <si>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5) </t>
    </r>
    <r>
      <rPr>
        <sz val="10"/>
        <rFont val="DejaVu Sans"/>
        <family val="2"/>
      </rPr>
      <t xml:space="preserve">검수 완료 시 진행률 대시보드 시트에서 통과율 확인</t>
    </r>
  </si>
  <si>
    <t xml:space="preserve">Domain</t>
  </si>
  <si>
    <t xml:space="preserve">이름</t>
  </si>
  <si>
    <t xml:space="preserve">Type</t>
  </si>
  <si>
    <t xml:space="preserve">설명</t>
  </si>
  <si>
    <r>
      <rPr>
        <b val="true"/>
        <sz val="11"/>
        <color rgb="FFFFFFFF"/>
        <rFont val="DejaVu Sans"/>
        <family val="2"/>
      </rPr>
      <t xml:space="preserve">카테고리 </t>
    </r>
    <r>
      <rPr>
        <b val="true"/>
        <sz val="11"/>
        <color rgb="FFFFFFFF"/>
        <rFont val="맑은 고딕"/>
        <family val="0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대표</t>
    </r>
    <r>
      <rPr>
        <b val="true"/>
        <sz val="11"/>
        <color rgb="FFFFFFFF"/>
        <rFont val="맑은 고딕"/>
        <family val="0"/>
        <charset val="1"/>
      </rPr>
      <t xml:space="preserve">)</t>
    </r>
  </si>
  <si>
    <t xml:space="preserve">도메인</t>
  </si>
  <si>
    <t xml:space="preserve">학사</t>
  </si>
  <si>
    <r>
      <rPr>
        <sz val="10"/>
        <rFont val="DejaVu Sans"/>
        <family val="2"/>
      </rPr>
      <t xml:space="preserve">사실 </t>
    </r>
    <r>
      <rPr>
        <sz val="10"/>
        <rFont val="맑은 고딕"/>
        <family val="0"/>
        <charset val="1"/>
      </rPr>
      <t xml:space="preserve">Factual — </t>
    </r>
    <r>
      <rPr>
        <sz val="10"/>
        <rFont val="DejaVu Sans"/>
        <family val="2"/>
      </rPr>
      <t xml:space="preserve">평가 대상</t>
    </r>
  </si>
  <si>
    <t xml:space="preserve">1.1</t>
  </si>
  <si>
    <t xml:space="preserve">학사일정</t>
  </si>
  <si>
    <t xml:space="preserve">식생활</t>
  </si>
  <si>
    <r>
      <rPr>
        <sz val="10"/>
        <rFont val="DejaVu Sans"/>
        <family val="2"/>
      </rPr>
      <t xml:space="preserve">절차 </t>
    </r>
    <r>
      <rPr>
        <sz val="10"/>
        <rFont val="맑은 고딕"/>
        <family val="0"/>
        <charset val="1"/>
      </rPr>
      <t xml:space="preserve">Procedural — </t>
    </r>
    <r>
      <rPr>
        <sz val="10"/>
        <rFont val="DejaVu Sans"/>
        <family val="2"/>
      </rPr>
      <t xml:space="preserve">평가 대상</t>
    </r>
  </si>
  <si>
    <t xml:space="preserve">1.2</t>
  </si>
  <si>
    <t xml:space="preserve">졸업요건</t>
  </si>
  <si>
    <t xml:space="preserve">도서관</t>
  </si>
  <si>
    <t xml:space="preserve">C</t>
  </si>
  <si>
    <r>
      <rPr>
        <sz val="10"/>
        <rFont val="DejaVu Sans"/>
        <family val="2"/>
      </rPr>
      <t xml:space="preserve">비교 </t>
    </r>
    <r>
      <rPr>
        <sz val="10"/>
        <rFont val="맑은 고딕"/>
        <family val="0"/>
        <charset val="1"/>
      </rPr>
      <t xml:space="preserve">Comparative — </t>
    </r>
    <r>
      <rPr>
        <sz val="10"/>
        <rFont val="DejaVu Sans"/>
        <family val="2"/>
      </rPr>
      <t xml:space="preserve">평가 대상</t>
    </r>
  </si>
  <si>
    <t xml:space="preserve">1.3</t>
  </si>
  <si>
    <r>
      <rPr>
        <sz val="10"/>
        <rFont val="DejaVu Sans"/>
        <family val="2"/>
      </rPr>
      <t xml:space="preserve">학칙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규정</t>
    </r>
  </si>
  <si>
    <t xml:space="preserve">기숙사</t>
  </si>
  <si>
    <r>
      <rPr>
        <sz val="10"/>
        <rFont val="DejaVu Sans"/>
        <family val="2"/>
      </rPr>
      <t xml:space="preserve">통계 </t>
    </r>
    <r>
      <rPr>
        <sz val="10"/>
        <rFont val="맑은 고딕"/>
        <family val="0"/>
        <charset val="1"/>
      </rPr>
      <t xml:space="preserve">Statistical — </t>
    </r>
    <r>
      <rPr>
        <sz val="10"/>
        <rFont val="DejaVu Sans"/>
        <family val="2"/>
      </rPr>
      <t xml:space="preserve">평가 대상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학사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기숙사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취업만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</si>
  <si>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수강신청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정정</t>
    </r>
  </si>
  <si>
    <r>
      <rPr>
        <sz val="10"/>
        <rFont val="DejaVu Sans"/>
        <family val="2"/>
      </rPr>
      <t xml:space="preserve">학생활동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공지</t>
    </r>
  </si>
  <si>
    <t xml:space="preserve">E</t>
  </si>
  <si>
    <r>
      <rPr>
        <sz val="10"/>
        <rFont val="DejaVu Sans"/>
        <family val="2"/>
      </rPr>
      <t xml:space="preserve">추천 </t>
    </r>
    <r>
      <rPr>
        <sz val="10"/>
        <rFont val="맑은 고딕"/>
        <family val="0"/>
        <charset val="1"/>
      </rPr>
      <t xml:space="preserve">Recommendation — </t>
    </r>
    <r>
      <rPr>
        <sz val="10"/>
        <rFont val="DejaVu Sans"/>
        <family val="2"/>
      </rPr>
      <t xml:space="preserve">시연 전용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평가 </t>
    </r>
    <r>
      <rPr>
        <sz val="10"/>
        <rFont val="맑은 고딕"/>
        <family val="0"/>
        <charset val="1"/>
      </rPr>
      <t xml:space="preserve">X)</t>
    </r>
  </si>
  <si>
    <t xml:space="preserve">1.5</t>
  </si>
  <si>
    <t xml:space="preserve">휴복학</t>
  </si>
  <si>
    <r>
      <rPr>
        <sz val="10"/>
        <rFont val="DejaVu Sans"/>
        <family val="2"/>
      </rPr>
      <t xml:space="preserve">장학금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등록금</t>
    </r>
  </si>
  <si>
    <t xml:space="preserve">F</t>
  </si>
  <si>
    <r>
      <rPr>
        <sz val="10"/>
        <rFont val="DejaVu Sans"/>
        <family val="2"/>
      </rPr>
      <t xml:space="preserve">시점 </t>
    </r>
    <r>
      <rPr>
        <sz val="10"/>
        <rFont val="맑은 고딕"/>
        <family val="0"/>
        <charset val="1"/>
      </rPr>
      <t xml:space="preserve">Temporal — </t>
    </r>
    <r>
      <rPr>
        <sz val="10"/>
        <rFont val="DejaVu Sans"/>
        <family val="2"/>
      </rPr>
      <t xml:space="preserve">시연 전용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평가 </t>
    </r>
    <r>
      <rPr>
        <sz val="10"/>
        <rFont val="맑은 고딕"/>
        <family val="0"/>
        <charset val="1"/>
      </rPr>
      <t xml:space="preserve">X)</t>
    </r>
  </si>
  <si>
    <t xml:space="preserve">1.6</t>
  </si>
  <si>
    <r>
      <rPr>
        <sz val="10"/>
        <rFont val="DejaVu Sans"/>
        <family val="2"/>
      </rPr>
      <t xml:space="preserve">복수전공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부전공</t>
    </r>
  </si>
  <si>
    <r>
      <rPr>
        <sz val="10"/>
        <rFont val="DejaVu Sans"/>
        <family val="2"/>
      </rPr>
      <t xml:space="preserve">진로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취업</t>
    </r>
  </si>
  <si>
    <t xml:space="preserve">1.7</t>
  </si>
  <si>
    <r>
      <rPr>
        <sz val="10"/>
        <rFont val="맑은 고딕"/>
        <family val="0"/>
        <charset val="1"/>
      </rPr>
      <t xml:space="preserve">D-</t>
    </r>
    <r>
      <rPr>
        <sz val="10"/>
        <rFont val="DejaVu Sans"/>
        <family val="2"/>
      </rPr>
      <t xml:space="preserve">통계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대학알리미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</si>
  <si>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DejaVu Sans"/>
        <family val="2"/>
      </rPr>
      <t xml:space="preserve">행정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증명서</t>
    </r>
  </si>
  <si>
    <t xml:space="preserve">2.1</t>
  </si>
  <si>
    <r>
      <rPr>
        <sz val="10"/>
        <rFont val="DejaVu Sans"/>
        <family val="2"/>
      </rPr>
      <t xml:space="preserve">식당 운영시간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위치</t>
    </r>
  </si>
  <si>
    <r>
      <rPr>
        <sz val="10"/>
        <rFont val="DejaVu Sans"/>
        <family val="2"/>
      </rPr>
      <t xml:space="preserve">캠퍼스 생활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시설</t>
    </r>
  </si>
  <si>
    <t xml:space="preserve">2.2</t>
  </si>
  <si>
    <r>
      <rPr>
        <sz val="10"/>
        <rFont val="DejaVu Sans"/>
        <family val="2"/>
      </rPr>
      <t xml:space="preserve">메뉴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가격</t>
    </r>
  </si>
  <si>
    <t xml:space="preserve">2.3</t>
  </si>
  <si>
    <t xml:space="preserve">식권 구매</t>
  </si>
  <si>
    <t xml:space="preserve">3.1</t>
  </si>
  <si>
    <t xml:space="preserve">도서관 운영시간</t>
  </si>
  <si>
    <t xml:space="preserve">3.4</t>
  </si>
  <si>
    <r>
      <rPr>
        <sz val="10"/>
        <rFont val="DejaVu Sans"/>
        <family val="2"/>
      </rPr>
      <t xml:space="preserve">자료검색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대출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연장</t>
    </r>
  </si>
  <si>
    <t xml:space="preserve">3.5</t>
  </si>
  <si>
    <t xml:space="preserve">대출규정</t>
  </si>
  <si>
    <r>
      <rPr>
        <sz val="10"/>
        <rFont val="DejaVu Sans"/>
        <family val="2"/>
      </rPr>
      <t xml:space="preserve">도서관</t>
    </r>
    <r>
      <rPr>
        <sz val="10"/>
        <rFont val="맑은 고딕"/>
        <family val="0"/>
        <charset val="1"/>
      </rPr>
      <t xml:space="preserve">FAQ</t>
    </r>
  </si>
  <si>
    <r>
      <rPr>
        <sz val="10"/>
        <rFont val="맑은 고딕"/>
        <family val="0"/>
        <charset val="1"/>
      </rPr>
      <t xml:space="preserve">FAQ </t>
    </r>
    <r>
      <rPr>
        <sz val="10"/>
        <rFont val="DejaVu Sans"/>
        <family val="2"/>
      </rPr>
      <t xml:space="preserve">시드</t>
    </r>
  </si>
  <si>
    <t xml:space="preserve">4.1</t>
  </si>
  <si>
    <r>
      <rPr>
        <sz val="10"/>
        <rFont val="DejaVu Sans"/>
        <family val="2"/>
      </rPr>
      <t xml:space="preserve">생활관 종류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위치</t>
    </r>
  </si>
  <si>
    <r>
      <rPr>
        <sz val="10"/>
        <rFont val="DejaVu Sans"/>
        <family val="2"/>
      </rPr>
      <t xml:space="preserve">신청 일정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자격</t>
    </r>
  </si>
  <si>
    <t xml:space="preserve">4.4</t>
  </si>
  <si>
    <r>
      <rPr>
        <sz val="10"/>
        <rFont val="DejaVu Sans"/>
        <family val="2"/>
      </rPr>
      <t xml:space="preserve">입사 규정</t>
    </r>
    <r>
      <rPr>
        <sz val="10"/>
        <rFont val="맑은 고딕"/>
        <family val="0"/>
        <charset val="1"/>
      </rPr>
      <t xml:space="preserve">+</t>
    </r>
    <r>
      <rPr>
        <sz val="10"/>
        <rFont val="DejaVu Sans"/>
        <family val="2"/>
      </rPr>
      <t xml:space="preserve">생활수칙</t>
    </r>
  </si>
  <si>
    <t xml:space="preserve">4.7</t>
  </si>
  <si>
    <r>
      <rPr>
        <sz val="10"/>
        <rFont val="맑은 고딕"/>
        <family val="0"/>
        <charset val="1"/>
      </rPr>
      <t xml:space="preserve">D-</t>
    </r>
    <r>
      <rPr>
        <sz val="10"/>
        <rFont val="DejaVu Sans"/>
        <family val="2"/>
      </rPr>
      <t xml:space="preserve">통계</t>
    </r>
  </si>
  <si>
    <t xml:space="preserve">5.3</t>
  </si>
  <si>
    <r>
      <rPr>
        <sz val="10"/>
        <rFont val="DejaVu Sans"/>
        <family val="2"/>
      </rPr>
      <t xml:space="preserve">학내 행사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축제</t>
    </r>
  </si>
  <si>
    <t xml:space="preserve">5.4</t>
  </si>
  <si>
    <r>
      <rPr>
        <sz val="10"/>
        <rFont val="DejaVu Sans"/>
        <family val="2"/>
      </rPr>
      <t xml:space="preserve">일반공지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백마광장</t>
    </r>
    <r>
      <rPr>
        <sz val="10"/>
        <rFont val="맑은 고딕"/>
        <family val="0"/>
        <charset val="1"/>
      </rPr>
      <t xml:space="preserve">)</t>
    </r>
  </si>
  <si>
    <t xml:space="preserve">6.1</t>
  </si>
  <si>
    <t xml:space="preserve">장학금 종류</t>
  </si>
  <si>
    <t xml:space="preserve">6.2</t>
  </si>
  <si>
    <t xml:space="preserve">신청 절차</t>
  </si>
  <si>
    <t xml:space="preserve">6.3</t>
  </si>
  <si>
    <t xml:space="preserve">등록금 일정</t>
  </si>
  <si>
    <t xml:space="preserve">6.4</t>
  </si>
  <si>
    <t xml:space="preserve">분할납부</t>
  </si>
  <si>
    <r>
      <rPr>
        <sz val="10"/>
        <rFont val="DejaVu Sans"/>
        <family val="2"/>
      </rPr>
      <t xml:space="preserve">장학</t>
    </r>
    <r>
      <rPr>
        <sz val="10"/>
        <rFont val="맑은 고딕"/>
        <family val="0"/>
        <charset val="1"/>
      </rPr>
      <t xml:space="preserve">FAQ</t>
    </r>
  </si>
  <si>
    <t xml:space="preserve">7.1</t>
  </si>
  <si>
    <t xml:space="preserve">진로상담센터</t>
  </si>
  <si>
    <t xml:space="preserve">7.3</t>
  </si>
  <si>
    <r>
      <rPr>
        <sz val="10"/>
        <rFont val="DejaVu Sans"/>
        <family val="2"/>
      </rPr>
      <t xml:space="preserve">인턴십</t>
    </r>
    <r>
      <rPr>
        <sz val="10"/>
        <rFont val="맑은 고딕"/>
        <family val="0"/>
        <charset val="1"/>
      </rPr>
      <t xml:space="preserve">·</t>
    </r>
    <r>
      <rPr>
        <sz val="10"/>
        <rFont val="DejaVu Sans"/>
        <family val="2"/>
      </rPr>
      <t xml:space="preserve">현장실습</t>
    </r>
  </si>
  <si>
    <r>
      <rPr>
        <sz val="10"/>
        <rFont val="맑은 고딕"/>
        <family val="0"/>
        <charset val="1"/>
      </rPr>
      <t xml:space="preserve">D-</t>
    </r>
    <r>
      <rPr>
        <sz val="10"/>
        <rFont val="DejaVu Sans"/>
        <family val="2"/>
      </rPr>
      <t xml:space="preserve">통계 </t>
    </r>
    <r>
      <rPr>
        <sz val="10"/>
        <rFont val="맑은 고딕"/>
        <family val="0"/>
        <charset val="1"/>
      </rPr>
      <t xml:space="preserve">(</t>
    </r>
    <r>
      <rPr>
        <sz val="10"/>
        <rFont val="DejaVu Sans"/>
        <family val="2"/>
      </rPr>
      <t xml:space="preserve">취업률</t>
    </r>
    <r>
      <rPr>
        <sz val="10"/>
        <rFont val="맑은 고딕"/>
        <family val="0"/>
        <charset val="1"/>
      </rPr>
      <t xml:space="preserve">)</t>
    </r>
  </si>
  <si>
    <t xml:space="preserve">8.1</t>
  </si>
  <si>
    <t xml:space="preserve">증명서 발급</t>
  </si>
  <si>
    <t xml:space="preserve">8.2</t>
  </si>
  <si>
    <t xml:space="preserve">학생증</t>
  </si>
  <si>
    <t xml:space="preserve">9.1</t>
  </si>
  <si>
    <t xml:space="preserve">셔틀</t>
  </si>
  <si>
    <t xml:space="preserve">9.2</t>
  </si>
  <si>
    <t xml:space="preserve">체육시설</t>
  </si>
  <si>
    <t xml:space="preserve">9.4</t>
  </si>
  <si>
    <r>
      <rPr>
        <sz val="10"/>
        <rFont val="DejaVu Sans"/>
        <family val="2"/>
      </rPr>
      <t xml:space="preserve">보건진료소</t>
    </r>
    <r>
      <rPr>
        <sz val="10"/>
        <rFont val="맑은 고딕"/>
        <family val="0"/>
        <charset val="1"/>
      </rPr>
      <t xml:space="preserve">+FAQ</t>
    </r>
  </si>
  <si>
    <t xml:space="preserve">검수 진행률 대시보드</t>
  </si>
  <si>
    <t xml:space="preserve">전체 요약</t>
  </si>
  <si>
    <r>
      <rPr>
        <sz val="11"/>
        <color theme="1"/>
        <rFont val="DejaVu Sans"/>
        <family val="2"/>
      </rPr>
      <t xml:space="preserve">총 행 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헤더 제외</t>
    </r>
    <r>
      <rPr>
        <sz val="11"/>
        <color theme="1"/>
        <rFont val="Calibri"/>
        <family val="2"/>
        <charset val="1"/>
      </rPr>
      <t xml:space="preserve">)</t>
    </r>
  </si>
  <si>
    <t xml:space="preserve">Edit</t>
  </si>
  <si>
    <r>
      <rPr>
        <sz val="11"/>
        <color theme="1"/>
        <rFont val="DejaVu Sans"/>
        <family val="2"/>
      </rPr>
      <t xml:space="preserve">미검수 </t>
    </r>
    <r>
      <rPr>
        <sz val="11"/>
        <color theme="1"/>
        <rFont val="Calibri"/>
        <family val="2"/>
        <charset val="1"/>
      </rPr>
      <t xml:space="preserve">(decision </t>
    </r>
    <r>
      <rPr>
        <sz val="11"/>
        <color theme="1"/>
        <rFont val="DejaVu Sans"/>
        <family val="2"/>
      </rPr>
      <t xml:space="preserve">공란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</si>
  <si>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DejaVu Sans"/>
        <family val="2"/>
      </rPr>
      <t xml:space="preserve">최종 통과 </t>
    </r>
    <r>
      <rPr>
        <sz val="11"/>
        <color theme="1"/>
        <rFont val="Calibri"/>
        <family val="2"/>
        <charset val="1"/>
      </rPr>
      <t xml:space="preserve">(Accept+Edit)</t>
    </r>
  </si>
  <si>
    <t xml:space="preserve">도메인별</t>
  </si>
  <si>
    <t xml:space="preserve">총</t>
  </si>
  <si>
    <t xml:space="preserve">통과율</t>
  </si>
  <si>
    <t xml:space="preserve">타입별</t>
  </si>
  <si>
    <t xml:space="preserve">Fallback Expected</t>
  </si>
  <si>
    <r>
      <rPr>
        <sz val="11"/>
        <color theme="1"/>
        <rFont val="Calibri"/>
        <family val="2"/>
        <charset val="1"/>
      </rPr>
      <t xml:space="preserve">TRUE </t>
    </r>
    <r>
      <rPr>
        <sz val="11"/>
        <color theme="1"/>
        <rFont val="DejaVu Sans"/>
        <family val="2"/>
      </rPr>
      <t xml:space="preserve">개수</t>
    </r>
  </si>
  <si>
    <r>
      <rPr>
        <sz val="11"/>
        <color theme="1"/>
        <rFont val="DejaVu Sans"/>
        <family val="2"/>
      </rPr>
      <t xml:space="preserve">전체 대비 비율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DejaVu Sans"/>
        <family val="2"/>
      </rPr>
      <t xml:space="preserve">목표 </t>
    </r>
    <r>
      <rPr>
        <sz val="11"/>
        <color theme="1"/>
        <rFont val="Calibri"/>
        <family val="2"/>
        <charset val="1"/>
      </rPr>
      <t xml:space="preserve">6~12%)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</si>
</sst>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맑은 고딕"/>
      <family val="0"/>
      <charset val="1"/>
    </font>
    <font>
      <sz val="10"/>
      <name val="맑은 고딕"/>
      <family val="0"/>
      <charset val="1"/>
    </font>
    <font>
      <sz val="10"/>
      <name val="DejaVu Sans"/>
      <family val="2"/>
    </font>
    <font>
      <b val="true"/>
      <sz val="14"/>
      <color rgb="FF2F5597"/>
      <name val="맑은 고딕"/>
      <family val="0"/>
      <charset val="1"/>
    </font>
    <font>
      <b val="true"/>
      <sz val="14"/>
      <color rgb="FF2F5597"/>
      <name val="DejaVu Sans"/>
      <family val="2"/>
    </font>
    <font>
      <b val="true"/>
      <sz val="11"/>
      <color rgb="FF2F5597"/>
      <name val="맑은 고딕"/>
      <family val="0"/>
      <charset val="1"/>
    </font>
    <font>
      <b val="true"/>
      <sz val="11"/>
      <color rgb="FF2F5597"/>
      <name val="DejaVu Sans"/>
      <family val="2"/>
    </font>
    <font>
      <b val="true"/>
      <sz val="11"/>
      <color rgb="FFFFFFFF"/>
      <name val="DejaVu Sans"/>
      <family val="2"/>
    </font>
    <font>
      <sz val="11"/>
      <color theme="1"/>
      <name val="DejaVu Sans"/>
      <family val="2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7030A0"/>
        <bgColor rgb="FF99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60"/>
    <col collapsed="false" customWidth="true" hidden="false" outlineLevel="0" max="4" min="4" style="0" width="8"/>
    <col collapsed="false" customWidth="true" hidden="false" outlineLevel="0" max="5" min="5" style="0" width="1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8" min="8" style="0" width="10"/>
    <col collapsed="false" customWidth="true" hidden="false" outlineLevel="0" max="9" min="9" style="0" width="20"/>
    <col collapsed="false" customWidth="true" hidden="false" outlineLevel="0" max="10" min="10" style="0" width="14"/>
    <col collapsed="false" customWidth="true" hidden="false" outlineLevel="0" max="11" min="11" style="0" width="10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4" min="14" style="0" width="40"/>
    <col collapsed="false" customWidth="true" hidden="false" outlineLevel="0" max="15" min="15" style="0" width="60"/>
    <col collapsed="false" customWidth="true" hidden="false" outlineLevel="0" max="16" min="16" style="0" width="30"/>
    <col collapsed="false" customWidth="true" hidden="false" outlineLevel="0" max="17" min="17" style="0" width="14"/>
    <col collapsed="false" customWidth="true" hidden="false" outlineLevel="0" max="18" min="18" style="0" width="18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customFormat="false" ht="60" hidden="false" customHeight="true" outlineLevel="0" collapsed="false">
      <c r="A2" s="3" t="s">
        <v>18</v>
      </c>
      <c r="B2" s="3" t="s">
        <v>19</v>
      </c>
      <c r="C2" s="3" t="s">
        <v>20</v>
      </c>
      <c r="D2" s="3" t="n">
        <v>1</v>
      </c>
      <c r="E2" s="3" t="s">
        <v>21</v>
      </c>
      <c r="F2" s="3" t="s">
        <v>22</v>
      </c>
      <c r="G2" s="3" t="s">
        <v>23</v>
      </c>
      <c r="H2" s="3" t="s">
        <v>24</v>
      </c>
      <c r="I2" s="4" t="s">
        <v>25</v>
      </c>
      <c r="J2" s="3" t="s">
        <v>26</v>
      </c>
      <c r="K2" s="3"/>
      <c r="L2" s="3"/>
      <c r="M2" s="3" t="s">
        <v>27</v>
      </c>
      <c r="N2" s="3"/>
      <c r="O2" s="3"/>
      <c r="P2" s="4" t="s">
        <v>28</v>
      </c>
      <c r="Q2" s="3" t="s">
        <v>29</v>
      </c>
      <c r="R2" s="3" t="s">
        <v>30</v>
      </c>
    </row>
    <row r="3" customFormat="false" ht="60" hidden="false" customHeight="true" outlineLevel="0" collapsed="false">
      <c r="A3" s="3" t="s">
        <v>31</v>
      </c>
      <c r="B3" s="4" t="s">
        <v>32</v>
      </c>
      <c r="C3" s="3" t="s">
        <v>33</v>
      </c>
      <c r="D3" s="3" t="n">
        <v>4</v>
      </c>
      <c r="E3" s="3" t="s">
        <v>34</v>
      </c>
      <c r="F3" s="3" t="s">
        <v>35</v>
      </c>
      <c r="G3" s="3" t="s">
        <v>36</v>
      </c>
      <c r="H3" s="3" t="s">
        <v>24</v>
      </c>
      <c r="I3" s="4" t="s">
        <v>37</v>
      </c>
      <c r="J3" s="3" t="s">
        <v>26</v>
      </c>
      <c r="K3" s="3"/>
      <c r="L3" s="3"/>
      <c r="M3" s="3" t="s">
        <v>27</v>
      </c>
      <c r="N3" s="3"/>
      <c r="O3" s="3"/>
      <c r="P3" s="4" t="s">
        <v>28</v>
      </c>
      <c r="Q3" s="3" t="s">
        <v>29</v>
      </c>
      <c r="R3" s="3" t="s">
        <v>30</v>
      </c>
    </row>
    <row r="4" customFormat="false" ht="60" hidden="false" customHeight="true" outlineLevel="0" collapsed="false">
      <c r="A4" s="3" t="s">
        <v>38</v>
      </c>
      <c r="B4" s="4" t="s">
        <v>39</v>
      </c>
      <c r="C4" s="3" t="s">
        <v>40</v>
      </c>
      <c r="D4" s="3" t="n">
        <v>7</v>
      </c>
      <c r="E4" s="3" t="s">
        <v>41</v>
      </c>
      <c r="F4" s="3" t="s">
        <v>42</v>
      </c>
      <c r="G4" s="3" t="s">
        <v>43</v>
      </c>
      <c r="H4" s="3" t="s">
        <v>24</v>
      </c>
      <c r="I4" s="4" t="s">
        <v>44</v>
      </c>
      <c r="J4" s="3" t="s">
        <v>26</v>
      </c>
      <c r="K4" s="3"/>
      <c r="L4" s="3"/>
      <c r="M4" s="3" t="s">
        <v>45</v>
      </c>
      <c r="N4" s="3"/>
      <c r="O4" s="3"/>
      <c r="P4" s="4" t="s">
        <v>46</v>
      </c>
      <c r="Q4" s="3" t="s">
        <v>29</v>
      </c>
      <c r="R4" s="3" t="s">
        <v>30</v>
      </c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</row>
  </sheetData>
  <autoFilter ref="A1:R1000"/>
  <conditionalFormatting sqref="M2:M1000">
    <cfRule type="cellIs" priority="2" operator="equal" aboveAverage="0" equalAverage="0" bottom="0" percent="0" rank="0" text="" dxfId="6">
      <formula>"Accept"</formula>
    </cfRule>
    <cfRule type="cellIs" priority="3" operator="equal" aboveAverage="0" equalAverage="0" bottom="0" percent="0" rank="0" text="" dxfId="7">
      <formula>"Edit"</formula>
    </cfRule>
    <cfRule type="cellIs" priority="4" operator="equal" aboveAverage="0" equalAverage="0" bottom="0" percent="0" rank="0" text="" dxfId="8">
      <formula>"Reject"</formula>
    </cfRule>
  </conditionalFormatting>
  <dataValidations count="4">
    <dataValidation allowBlank="true" error="Accept/Edit/Reject 중에서 선택" errorStyle="stop" errorTitle="Decision 오류" operator="between" showDropDown="false" showErrorMessage="false" showInputMessage="false" sqref="M2:M1000" type="list">
      <formula1>"Accept,Edit,Reject"</formula1>
      <formula2>0</formula2>
    </dataValidation>
    <dataValidation allowBlank="true" error="A/B/C/D/E/F 중에서 선택" errorStyle="stop" errorTitle="Type 오류" operator="between" showDropDown="false" showErrorMessage="false" showInputMessage="false" sqref="F2:F1000" type="list">
      <formula1>"A,B,C,D,E,F"</formula1>
      <formula2>0</formula2>
    </dataValidation>
    <dataValidation allowBlank="true" errorStyle="stop" operator="between" showDropDown="false" showErrorMessage="false" showInputMessage="false" sqref="H2:H1000" type="list">
      <formula1>"TRUE,FALSE"</formula1>
      <formula2>0</formula2>
    </dataValidation>
    <dataValidation allowBlank="true" error="1~9 중에서 선택" errorStyle="stop" errorTitle="Domain 오류" operator="between" showDropDown="false" showErrorMessage="false" showInputMessage="false" sqref="D2:D1000" type="list">
      <formula1>"1,2,3,4,5,6,7,8,9"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</cols>
  <sheetData>
    <row r="1" customFormat="false" ht="24" hidden="false" customHeight="true" outlineLevel="0" collapsed="false">
      <c r="A1" s="5" t="s">
        <v>47</v>
      </c>
    </row>
    <row r="3" customFormat="false" ht="19.5" hidden="false" customHeight="true" outlineLevel="0" collapsed="false">
      <c r="A3" s="6" t="s">
        <v>48</v>
      </c>
    </row>
    <row r="4" customFormat="false" ht="15" hidden="false" customHeight="false" outlineLevel="0" collapsed="false">
      <c r="A4" s="7" t="s">
        <v>49</v>
      </c>
    </row>
    <row r="5" customFormat="false" ht="15" hidden="false" customHeight="false" outlineLevel="0" collapsed="false">
      <c r="A5" s="7" t="s">
        <v>50</v>
      </c>
    </row>
    <row r="7" customFormat="false" ht="19.5" hidden="false" customHeight="true" outlineLevel="0" collapsed="false">
      <c r="A7" s="6" t="s">
        <v>51</v>
      </c>
    </row>
    <row r="8" customFormat="false" ht="15" hidden="false" customHeight="false" outlineLevel="0" collapsed="false">
      <c r="A8" s="8" t="s">
        <v>52</v>
      </c>
    </row>
    <row r="9" customFormat="false" ht="15" hidden="false" customHeight="false" outlineLevel="0" collapsed="false">
      <c r="A9" s="8" t="s">
        <v>53</v>
      </c>
    </row>
    <row r="10" customFormat="false" ht="15" hidden="false" customHeight="false" outlineLevel="0" collapsed="false">
      <c r="A10" s="8" t="s">
        <v>54</v>
      </c>
    </row>
    <row r="12" customFormat="false" ht="19.5" hidden="false" customHeight="true" outlineLevel="0" collapsed="false">
      <c r="A12" s="9" t="s">
        <v>55</v>
      </c>
    </row>
    <row r="13" customFormat="false" ht="15" hidden="false" customHeight="false" outlineLevel="0" collapsed="false">
      <c r="A13" s="8" t="s">
        <v>56</v>
      </c>
    </row>
    <row r="14" customFormat="false" ht="15" hidden="false" customHeight="false" outlineLevel="0" collapsed="false">
      <c r="A14" s="8" t="s">
        <v>57</v>
      </c>
    </row>
    <row r="15" customFormat="false" ht="15" hidden="false" customHeight="false" outlineLevel="0" collapsed="false">
      <c r="A15" s="8" t="s">
        <v>58</v>
      </c>
    </row>
    <row r="16" customFormat="false" ht="15" hidden="false" customHeight="false" outlineLevel="0" collapsed="false">
      <c r="A16" s="8" t="s">
        <v>59</v>
      </c>
    </row>
    <row r="18" customFormat="false" ht="19.5" hidden="false" customHeight="true" outlineLevel="0" collapsed="false">
      <c r="A18" s="9" t="s">
        <v>60</v>
      </c>
    </row>
    <row r="19" customFormat="false" ht="15" hidden="false" customHeight="false" outlineLevel="0" collapsed="false">
      <c r="A19" s="8" t="s">
        <v>61</v>
      </c>
    </row>
    <row r="20" customFormat="false" ht="15" hidden="false" customHeight="false" outlineLevel="0" collapsed="false">
      <c r="A20" s="8" t="s">
        <v>62</v>
      </c>
    </row>
    <row r="21" customFormat="false" ht="15" hidden="false" customHeight="false" outlineLevel="0" collapsed="false">
      <c r="A21" s="8" t="s">
        <v>63</v>
      </c>
    </row>
    <row r="22" customFormat="false" ht="15" hidden="false" customHeight="false" outlineLevel="0" collapsed="false">
      <c r="A22" s="8" t="s">
        <v>64</v>
      </c>
    </row>
    <row r="23" customFormat="false" ht="15" hidden="false" customHeight="false" outlineLevel="0" collapsed="false">
      <c r="A23" s="8" t="s">
        <v>65</v>
      </c>
    </row>
    <row r="24" customFormat="false" ht="15" hidden="false" customHeight="false" outlineLevel="0" collapsed="false">
      <c r="A24" s="8" t="s">
        <v>66</v>
      </c>
    </row>
    <row r="25" customFormat="false" ht="15" hidden="false" customHeight="false" outlineLevel="0" collapsed="false">
      <c r="A25" s="8" t="s">
        <v>67</v>
      </c>
    </row>
    <row r="26" customFormat="false" ht="15" hidden="false" customHeight="false" outlineLevel="0" collapsed="false">
      <c r="A26" s="8" t="s">
        <v>68</v>
      </c>
    </row>
    <row r="27" customFormat="false" ht="15" hidden="false" customHeight="false" outlineLevel="0" collapsed="false">
      <c r="A27" s="8" t="s">
        <v>69</v>
      </c>
    </row>
    <row r="29" customFormat="false" ht="19.5" hidden="false" customHeight="true" outlineLevel="0" collapsed="false">
      <c r="A29" s="6" t="s">
        <v>70</v>
      </c>
    </row>
    <row r="30" customFormat="false" ht="15" hidden="false" customHeight="false" outlineLevel="0" collapsed="false">
      <c r="A30" s="8" t="s">
        <v>71</v>
      </c>
    </row>
    <row r="31" customFormat="false" ht="15" hidden="false" customHeight="false" outlineLevel="0" collapsed="false">
      <c r="A31" s="8" t="s">
        <v>72</v>
      </c>
    </row>
    <row r="32" customFormat="false" ht="15" hidden="false" customHeight="false" outlineLevel="0" collapsed="false">
      <c r="A32" s="8" t="s">
        <v>73</v>
      </c>
    </row>
    <row r="33" customFormat="false" ht="15" hidden="false" customHeight="false" outlineLevel="0" collapsed="false">
      <c r="A33" s="7" t="s">
        <v>74</v>
      </c>
    </row>
    <row r="35" customFormat="false" ht="19.5" hidden="false" customHeight="true" outlineLevel="0" collapsed="false">
      <c r="A35" s="9" t="s">
        <v>75</v>
      </c>
    </row>
    <row r="36" customFormat="false" ht="15" hidden="false" customHeight="false" outlineLevel="0" collapsed="false">
      <c r="A36" s="8" t="s">
        <v>76</v>
      </c>
    </row>
    <row r="37" customFormat="false" ht="15" hidden="false" customHeight="false" outlineLevel="0" collapsed="false">
      <c r="A37" s="8" t="s">
        <v>77</v>
      </c>
    </row>
    <row r="38" customFormat="false" ht="15" hidden="false" customHeight="false" outlineLevel="0" collapsed="false">
      <c r="A38" s="8" t="s">
        <v>78</v>
      </c>
    </row>
    <row r="39" customFormat="false" ht="15" hidden="false" customHeight="false" outlineLevel="0" collapsed="false">
      <c r="A39" s="8" t="s">
        <v>79</v>
      </c>
    </row>
    <row r="40" customFormat="false" ht="15" hidden="false" customHeight="false" outlineLevel="0" collapsed="false">
      <c r="A40" s="8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5"/>
    <col collapsed="false" customWidth="true" hidden="false" outlineLevel="0" max="3" min="3" style="0" width="8"/>
    <col collapsed="false" customWidth="true" hidden="false" outlineLevel="0" max="4" min="4" style="0" width="40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40"/>
  </cols>
  <sheetData>
    <row r="1" customFormat="false" ht="15" hidden="false" customHeight="false" outlineLevel="0" collapsed="false">
      <c r="A1" s="10" t="s">
        <v>81</v>
      </c>
      <c r="B1" s="11" t="s">
        <v>82</v>
      </c>
      <c r="C1" s="10" t="s">
        <v>83</v>
      </c>
      <c r="D1" s="11" t="s">
        <v>84</v>
      </c>
      <c r="F1" s="11" t="s">
        <v>85</v>
      </c>
      <c r="G1" s="11" t="s">
        <v>86</v>
      </c>
      <c r="H1" s="11" t="s">
        <v>84</v>
      </c>
    </row>
    <row r="2" customFormat="false" ht="15" hidden="false" customHeight="false" outlineLevel="0" collapsed="false">
      <c r="A2" s="12" t="n">
        <v>1</v>
      </c>
      <c r="B2" s="13" t="s">
        <v>87</v>
      </c>
      <c r="C2" s="12" t="s">
        <v>22</v>
      </c>
      <c r="D2" s="13" t="s">
        <v>88</v>
      </c>
      <c r="F2" s="12" t="s">
        <v>89</v>
      </c>
      <c r="G2" s="12" t="n">
        <v>1</v>
      </c>
      <c r="H2" s="13" t="s">
        <v>90</v>
      </c>
    </row>
    <row r="3" customFormat="false" ht="15" hidden="false" customHeight="false" outlineLevel="0" collapsed="false">
      <c r="A3" s="12" t="n">
        <v>2</v>
      </c>
      <c r="B3" s="13" t="s">
        <v>91</v>
      </c>
      <c r="C3" s="12" t="s">
        <v>35</v>
      </c>
      <c r="D3" s="13" t="s">
        <v>92</v>
      </c>
      <c r="F3" s="12" t="s">
        <v>93</v>
      </c>
      <c r="G3" s="12" t="n">
        <v>1</v>
      </c>
      <c r="H3" s="13" t="s">
        <v>94</v>
      </c>
    </row>
    <row r="4" customFormat="false" ht="15" hidden="false" customHeight="false" outlineLevel="0" collapsed="false">
      <c r="A4" s="12" t="n">
        <v>3</v>
      </c>
      <c r="B4" s="13" t="s">
        <v>95</v>
      </c>
      <c r="C4" s="12" t="s">
        <v>96</v>
      </c>
      <c r="D4" s="13" t="s">
        <v>97</v>
      </c>
      <c r="F4" s="12" t="s">
        <v>98</v>
      </c>
      <c r="G4" s="12" t="n">
        <v>1</v>
      </c>
      <c r="H4" s="13" t="s">
        <v>99</v>
      </c>
    </row>
    <row r="5" customFormat="false" ht="15" hidden="false" customHeight="false" outlineLevel="0" collapsed="false">
      <c r="A5" s="12" t="n">
        <v>4</v>
      </c>
      <c r="B5" s="13" t="s">
        <v>100</v>
      </c>
      <c r="C5" s="12" t="s">
        <v>42</v>
      </c>
      <c r="D5" s="13" t="s">
        <v>101</v>
      </c>
      <c r="F5" s="12" t="s">
        <v>21</v>
      </c>
      <c r="G5" s="12" t="n">
        <v>1</v>
      </c>
      <c r="H5" s="13" t="s">
        <v>102</v>
      </c>
    </row>
    <row r="6" customFormat="false" ht="15" hidden="false" customHeight="false" outlineLevel="0" collapsed="false">
      <c r="A6" s="12" t="n">
        <v>5</v>
      </c>
      <c r="B6" s="13" t="s">
        <v>103</v>
      </c>
      <c r="C6" s="12" t="s">
        <v>104</v>
      </c>
      <c r="D6" s="13" t="s">
        <v>105</v>
      </c>
      <c r="F6" s="12" t="s">
        <v>106</v>
      </c>
      <c r="G6" s="12" t="n">
        <v>1</v>
      </c>
      <c r="H6" s="13" t="s">
        <v>107</v>
      </c>
    </row>
    <row r="7" customFormat="false" ht="15" hidden="false" customHeight="false" outlineLevel="0" collapsed="false">
      <c r="A7" s="12" t="n">
        <v>6</v>
      </c>
      <c r="B7" s="13" t="s">
        <v>108</v>
      </c>
      <c r="C7" s="12" t="s">
        <v>109</v>
      </c>
      <c r="D7" s="13" t="s">
        <v>110</v>
      </c>
      <c r="F7" s="12" t="s">
        <v>111</v>
      </c>
      <c r="G7" s="12" t="n">
        <v>1</v>
      </c>
      <c r="H7" s="13" t="s">
        <v>112</v>
      </c>
    </row>
    <row r="8" customFormat="false" ht="15" hidden="false" customHeight="false" outlineLevel="0" collapsed="false">
      <c r="A8" s="12" t="n">
        <v>7</v>
      </c>
      <c r="B8" s="13" t="s">
        <v>113</v>
      </c>
      <c r="F8" s="12" t="s">
        <v>114</v>
      </c>
      <c r="G8" s="12" t="n">
        <v>1</v>
      </c>
      <c r="H8" s="12" t="s">
        <v>115</v>
      </c>
    </row>
    <row r="9" customFormat="false" ht="15" hidden="false" customHeight="false" outlineLevel="0" collapsed="false">
      <c r="A9" s="12" t="n">
        <v>8</v>
      </c>
      <c r="B9" s="13" t="s">
        <v>116</v>
      </c>
      <c r="F9" s="12" t="s">
        <v>117</v>
      </c>
      <c r="G9" s="12" t="n">
        <v>2</v>
      </c>
      <c r="H9" s="13" t="s">
        <v>118</v>
      </c>
    </row>
    <row r="10" customFormat="false" ht="15" hidden="false" customHeight="false" outlineLevel="0" collapsed="false">
      <c r="A10" s="12" t="n">
        <v>9</v>
      </c>
      <c r="B10" s="13" t="s">
        <v>119</v>
      </c>
      <c r="F10" s="12" t="s">
        <v>120</v>
      </c>
      <c r="G10" s="12" t="n">
        <v>2</v>
      </c>
      <c r="H10" s="13" t="s">
        <v>121</v>
      </c>
    </row>
    <row r="11" customFormat="false" ht="15" hidden="false" customHeight="false" outlineLevel="0" collapsed="false">
      <c r="F11" s="12" t="s">
        <v>122</v>
      </c>
      <c r="G11" s="12" t="n">
        <v>2</v>
      </c>
      <c r="H11" s="13" t="s">
        <v>123</v>
      </c>
    </row>
    <row r="12" customFormat="false" ht="15" hidden="false" customHeight="false" outlineLevel="0" collapsed="false">
      <c r="F12" s="12" t="s">
        <v>124</v>
      </c>
      <c r="G12" s="12" t="n">
        <v>3</v>
      </c>
      <c r="H12" s="13" t="s">
        <v>125</v>
      </c>
    </row>
    <row r="13" customFormat="false" ht="15" hidden="false" customHeight="false" outlineLevel="0" collapsed="false">
      <c r="F13" s="12" t="s">
        <v>126</v>
      </c>
      <c r="G13" s="12" t="n">
        <v>3</v>
      </c>
      <c r="H13" s="13" t="s">
        <v>127</v>
      </c>
    </row>
    <row r="14" customFormat="false" ht="15" hidden="false" customHeight="false" outlineLevel="0" collapsed="false">
      <c r="F14" s="12" t="s">
        <v>128</v>
      </c>
      <c r="G14" s="12" t="n">
        <v>3</v>
      </c>
      <c r="H14" s="13" t="s">
        <v>129</v>
      </c>
    </row>
    <row r="15" customFormat="false" ht="15" hidden="false" customHeight="false" outlineLevel="0" collapsed="false">
      <c r="F15" s="13" t="s">
        <v>130</v>
      </c>
      <c r="G15" s="12" t="n">
        <v>3</v>
      </c>
      <c r="H15" s="12" t="s">
        <v>131</v>
      </c>
    </row>
    <row r="16" customFormat="false" ht="15" hidden="false" customHeight="false" outlineLevel="0" collapsed="false">
      <c r="F16" s="12" t="s">
        <v>132</v>
      </c>
      <c r="G16" s="12" t="n">
        <v>4</v>
      </c>
      <c r="H16" s="13" t="s">
        <v>133</v>
      </c>
    </row>
    <row r="17" customFormat="false" ht="15" hidden="false" customHeight="false" outlineLevel="0" collapsed="false">
      <c r="F17" s="12" t="s">
        <v>34</v>
      </c>
      <c r="G17" s="12" t="n">
        <v>4</v>
      </c>
      <c r="H17" s="13" t="s">
        <v>134</v>
      </c>
    </row>
    <row r="18" customFormat="false" ht="15" hidden="false" customHeight="false" outlineLevel="0" collapsed="false">
      <c r="F18" s="12" t="s">
        <v>135</v>
      </c>
      <c r="G18" s="12" t="n">
        <v>4</v>
      </c>
      <c r="H18" s="13" t="s">
        <v>136</v>
      </c>
    </row>
    <row r="19" customFormat="false" ht="15" hidden="false" customHeight="false" outlineLevel="0" collapsed="false">
      <c r="F19" s="12" t="s">
        <v>137</v>
      </c>
      <c r="G19" s="12" t="n">
        <v>4</v>
      </c>
      <c r="H19" s="12" t="s">
        <v>138</v>
      </c>
    </row>
    <row r="20" customFormat="false" ht="15" hidden="false" customHeight="false" outlineLevel="0" collapsed="false">
      <c r="F20" s="12" t="s">
        <v>139</v>
      </c>
      <c r="G20" s="12" t="n">
        <v>5</v>
      </c>
      <c r="H20" s="13" t="s">
        <v>140</v>
      </c>
    </row>
    <row r="21" customFormat="false" ht="15" hidden="false" customHeight="false" outlineLevel="0" collapsed="false">
      <c r="F21" s="12" t="s">
        <v>141</v>
      </c>
      <c r="G21" s="12" t="n">
        <v>5</v>
      </c>
      <c r="H21" s="13" t="s">
        <v>142</v>
      </c>
    </row>
    <row r="22" customFormat="false" ht="15" hidden="false" customHeight="false" outlineLevel="0" collapsed="false">
      <c r="F22" s="12" t="s">
        <v>143</v>
      </c>
      <c r="G22" s="12" t="n">
        <v>6</v>
      </c>
      <c r="H22" s="13" t="s">
        <v>144</v>
      </c>
    </row>
    <row r="23" customFormat="false" ht="15" hidden="false" customHeight="false" outlineLevel="0" collapsed="false">
      <c r="F23" s="12" t="s">
        <v>145</v>
      </c>
      <c r="G23" s="12" t="n">
        <v>6</v>
      </c>
      <c r="H23" s="13" t="s">
        <v>146</v>
      </c>
    </row>
    <row r="24" customFormat="false" ht="15" hidden="false" customHeight="false" outlineLevel="0" collapsed="false">
      <c r="F24" s="12" t="s">
        <v>147</v>
      </c>
      <c r="G24" s="12" t="n">
        <v>6</v>
      </c>
      <c r="H24" s="13" t="s">
        <v>148</v>
      </c>
    </row>
    <row r="25" customFormat="false" ht="15" hidden="false" customHeight="false" outlineLevel="0" collapsed="false">
      <c r="F25" s="12" t="s">
        <v>149</v>
      </c>
      <c r="G25" s="12" t="n">
        <v>6</v>
      </c>
      <c r="H25" s="13" t="s">
        <v>150</v>
      </c>
    </row>
    <row r="26" customFormat="false" ht="15" hidden="false" customHeight="false" outlineLevel="0" collapsed="false">
      <c r="F26" s="13" t="s">
        <v>151</v>
      </c>
      <c r="G26" s="12" t="n">
        <v>6</v>
      </c>
      <c r="H26" s="12" t="s">
        <v>131</v>
      </c>
    </row>
    <row r="27" customFormat="false" ht="15" hidden="false" customHeight="false" outlineLevel="0" collapsed="false">
      <c r="F27" s="12" t="s">
        <v>152</v>
      </c>
      <c r="G27" s="12" t="n">
        <v>7</v>
      </c>
      <c r="H27" s="13" t="s">
        <v>153</v>
      </c>
    </row>
    <row r="28" customFormat="false" ht="15" hidden="false" customHeight="false" outlineLevel="0" collapsed="false">
      <c r="F28" s="12" t="s">
        <v>154</v>
      </c>
      <c r="G28" s="12" t="n">
        <v>7</v>
      </c>
      <c r="H28" s="13" t="s">
        <v>155</v>
      </c>
    </row>
    <row r="29" customFormat="false" ht="15" hidden="false" customHeight="false" outlineLevel="0" collapsed="false">
      <c r="F29" s="12" t="s">
        <v>41</v>
      </c>
      <c r="G29" s="12" t="n">
        <v>7</v>
      </c>
      <c r="H29" s="12" t="s">
        <v>156</v>
      </c>
    </row>
    <row r="30" customFormat="false" ht="15" hidden="false" customHeight="false" outlineLevel="0" collapsed="false">
      <c r="F30" s="12" t="s">
        <v>157</v>
      </c>
      <c r="G30" s="12" t="n">
        <v>8</v>
      </c>
      <c r="H30" s="13" t="s">
        <v>158</v>
      </c>
    </row>
    <row r="31" customFormat="false" ht="15" hidden="false" customHeight="false" outlineLevel="0" collapsed="false">
      <c r="F31" s="12" t="s">
        <v>159</v>
      </c>
      <c r="G31" s="12" t="n">
        <v>8</v>
      </c>
      <c r="H31" s="13" t="s">
        <v>160</v>
      </c>
    </row>
    <row r="32" customFormat="false" ht="15" hidden="false" customHeight="false" outlineLevel="0" collapsed="false">
      <c r="F32" s="12" t="s">
        <v>161</v>
      </c>
      <c r="G32" s="12" t="n">
        <v>9</v>
      </c>
      <c r="H32" s="13" t="s">
        <v>162</v>
      </c>
    </row>
    <row r="33" customFormat="false" ht="15" hidden="false" customHeight="false" outlineLevel="0" collapsed="false">
      <c r="F33" s="12" t="s">
        <v>163</v>
      </c>
      <c r="G33" s="12" t="n">
        <v>9</v>
      </c>
      <c r="H33" s="13" t="s">
        <v>164</v>
      </c>
    </row>
    <row r="34" customFormat="false" ht="15" hidden="false" customHeight="false" outlineLevel="0" collapsed="false">
      <c r="F34" s="12" t="s">
        <v>165</v>
      </c>
      <c r="G34" s="12" t="n">
        <v>9</v>
      </c>
      <c r="H34" s="13" t="s">
        <v>166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8"/>
    <col collapsed="false" customWidth="true" hidden="false" outlineLevel="0" max="3" min="2" style="0" width="14"/>
    <col collapsed="false" customWidth="true" hidden="false" outlineLevel="0" max="7" min="4" style="0" width="10"/>
  </cols>
  <sheetData>
    <row r="1" customFormat="false" ht="24" hidden="false" customHeight="true" outlineLevel="0" collapsed="false">
      <c r="A1" s="14" t="s">
        <v>167</v>
      </c>
      <c r="B1" s="14"/>
      <c r="C1" s="14"/>
      <c r="D1" s="14"/>
      <c r="E1" s="14"/>
      <c r="F1" s="14"/>
      <c r="G1" s="14"/>
    </row>
    <row r="3" customFormat="false" ht="15" hidden="false" customHeight="false" outlineLevel="0" collapsed="false">
      <c r="A3" s="9" t="s">
        <v>168</v>
      </c>
    </row>
    <row r="4" customFormat="false" ht="15" hidden="false" customHeight="false" outlineLevel="0" collapsed="false">
      <c r="A4" s="15" t="s">
        <v>169</v>
      </c>
      <c r="B4" s="0" t="n">
        <f aca="false">COUNTA('검수 워크시트'!A2:A1000)</f>
        <v>3</v>
      </c>
    </row>
    <row r="5" customFormat="false" ht="15" hidden="false" customHeight="false" outlineLevel="0" collapsed="false">
      <c r="A5" s="0" t="s">
        <v>27</v>
      </c>
      <c r="B5" s="0" t="n">
        <f aca="false">COUNTIF('검수 워크시트'!M2:M1000,"Accept")</f>
        <v>2</v>
      </c>
      <c r="C5" s="16" t="n">
        <f aca="false">IFERROR(B5/B4,0)</f>
        <v>0.666666666666667</v>
      </c>
    </row>
    <row r="6" customFormat="false" ht="15" hidden="false" customHeight="false" outlineLevel="0" collapsed="false">
      <c r="A6" s="0" t="s">
        <v>170</v>
      </c>
      <c r="B6" s="0" t="n">
        <f aca="false">COUNTIF('검수 워크시트'!M2:M1000,"Edit")</f>
        <v>0</v>
      </c>
      <c r="C6" s="16" t="n">
        <f aca="false">IFERROR(B6/B4,0)</f>
        <v>0</v>
      </c>
    </row>
    <row r="7" customFormat="false" ht="15" hidden="false" customHeight="false" outlineLevel="0" collapsed="false">
      <c r="A7" s="0" t="s">
        <v>45</v>
      </c>
      <c r="B7" s="0" t="n">
        <f aca="false">COUNTIF('검수 워크시트'!M2:M1000,"Reject")</f>
        <v>1</v>
      </c>
      <c r="C7" s="16" t="n">
        <f aca="false">IFERROR(B7/B4,0)</f>
        <v>0.333333333333333</v>
      </c>
    </row>
    <row r="8" customFormat="false" ht="15" hidden="false" customHeight="false" outlineLevel="0" collapsed="false">
      <c r="A8" s="15" t="s">
        <v>171</v>
      </c>
      <c r="B8" s="0" t="n">
        <f aca="false">B4-B5-B6-B7</f>
        <v>0</v>
      </c>
      <c r="C8" s="16" t="n">
        <f aca="false">IFERROR(B8/B4,0)</f>
        <v>0</v>
      </c>
    </row>
    <row r="9" customFormat="false" ht="15" hidden="false" customHeight="false" outlineLevel="0" collapsed="false">
      <c r="A9" s="15" t="s">
        <v>172</v>
      </c>
      <c r="B9" s="0" t="n">
        <f aca="false">B5+B6</f>
        <v>2</v>
      </c>
      <c r="C9" s="16" t="n">
        <f aca="false">IFERROR(B9/B4,0)</f>
        <v>0.666666666666667</v>
      </c>
    </row>
    <row r="11" customFormat="false" ht="15" hidden="false" customHeight="false" outlineLevel="0" collapsed="false">
      <c r="A11" s="9" t="s">
        <v>173</v>
      </c>
    </row>
    <row r="12" customFormat="false" ht="15" hidden="false" customHeight="false" outlineLevel="0" collapsed="false">
      <c r="A12" s="17" t="s">
        <v>81</v>
      </c>
      <c r="B12" s="18" t="s">
        <v>82</v>
      </c>
      <c r="C12" s="18" t="s">
        <v>174</v>
      </c>
      <c r="D12" s="17" t="s">
        <v>27</v>
      </c>
      <c r="E12" s="17" t="s">
        <v>170</v>
      </c>
      <c r="F12" s="17" t="s">
        <v>45</v>
      </c>
      <c r="G12" s="18" t="s">
        <v>175</v>
      </c>
    </row>
    <row r="13" customFormat="false" ht="15" hidden="false" customHeight="false" outlineLevel="0" collapsed="false">
      <c r="A13" s="12" t="n">
        <v>1</v>
      </c>
      <c r="B13" s="13" t="s">
        <v>87</v>
      </c>
      <c r="C13" s="12" t="n">
        <f aca="false">COUNTIF('검수 워크시트'!D2:D1000,A13)</f>
        <v>1</v>
      </c>
      <c r="D13" s="12" t="n">
        <f aca="false">COUNTIFS('검수 워크시트'!D2:D1000,A13,'검수 워크시트'!M2:M1000,"Accept")</f>
        <v>1</v>
      </c>
      <c r="E13" s="12" t="n">
        <f aca="false">COUNTIFS('검수 워크시트'!D2:D1000,A13,'검수 워크시트'!M2:M1000,"Edit")</f>
        <v>0</v>
      </c>
      <c r="F13" s="12" t="n">
        <f aca="false">COUNTIFS('검수 워크시트'!D2:D1000,A13,'검수 워크시트'!M2:M1000,"Reject")</f>
        <v>0</v>
      </c>
      <c r="G13" s="19" t="n">
        <f aca="false">IFERROR((D13+E13)/C13,0)</f>
        <v>1</v>
      </c>
    </row>
    <row r="14" customFormat="false" ht="15" hidden="false" customHeight="false" outlineLevel="0" collapsed="false">
      <c r="A14" s="12" t="n">
        <v>2</v>
      </c>
      <c r="B14" s="13" t="s">
        <v>91</v>
      </c>
      <c r="C14" s="12" t="n">
        <f aca="false">COUNTIF('검수 워크시트'!D2:D1000,A14)</f>
        <v>0</v>
      </c>
      <c r="D14" s="12" t="n">
        <f aca="false">COUNTIFS('검수 워크시트'!D2:D1000,A14,'검수 워크시트'!M2:M1000,"Accept")</f>
        <v>0</v>
      </c>
      <c r="E14" s="12" t="n">
        <f aca="false">COUNTIFS('검수 워크시트'!D2:D1000,A14,'검수 워크시트'!M2:M1000,"Edit")</f>
        <v>0</v>
      </c>
      <c r="F14" s="12" t="n">
        <f aca="false">COUNTIFS('검수 워크시트'!D2:D1000,A14,'검수 워크시트'!M2:M1000,"Reject")</f>
        <v>0</v>
      </c>
      <c r="G14" s="19" t="n">
        <f aca="false">IFERROR((D14+E14)/C14,0)</f>
        <v>0</v>
      </c>
    </row>
    <row r="15" customFormat="false" ht="15" hidden="false" customHeight="false" outlineLevel="0" collapsed="false">
      <c r="A15" s="12" t="n">
        <v>3</v>
      </c>
      <c r="B15" s="13" t="s">
        <v>95</v>
      </c>
      <c r="C15" s="12" t="n">
        <f aca="false">COUNTIF('검수 워크시트'!D2:D1000,A15)</f>
        <v>0</v>
      </c>
      <c r="D15" s="12" t="n">
        <f aca="false">COUNTIFS('검수 워크시트'!D2:D1000,A15,'검수 워크시트'!M2:M1000,"Accept")</f>
        <v>0</v>
      </c>
      <c r="E15" s="12" t="n">
        <f aca="false">COUNTIFS('검수 워크시트'!D2:D1000,A15,'검수 워크시트'!M2:M1000,"Edit")</f>
        <v>0</v>
      </c>
      <c r="F15" s="12" t="n">
        <f aca="false">COUNTIFS('검수 워크시트'!D2:D1000,A15,'검수 워크시트'!M2:M1000,"Reject")</f>
        <v>0</v>
      </c>
      <c r="G15" s="19" t="n">
        <f aca="false">IFERROR((D15+E15)/C15,0)</f>
        <v>0</v>
      </c>
    </row>
    <row r="16" customFormat="false" ht="15" hidden="false" customHeight="false" outlineLevel="0" collapsed="false">
      <c r="A16" s="12" t="n">
        <v>4</v>
      </c>
      <c r="B16" s="13" t="s">
        <v>100</v>
      </c>
      <c r="C16" s="12" t="n">
        <f aca="false">COUNTIF('검수 워크시트'!D2:D1000,A16)</f>
        <v>1</v>
      </c>
      <c r="D16" s="12" t="n">
        <f aca="false">COUNTIFS('검수 워크시트'!D2:D1000,A16,'검수 워크시트'!M2:M1000,"Accept")</f>
        <v>1</v>
      </c>
      <c r="E16" s="12" t="n">
        <f aca="false">COUNTIFS('검수 워크시트'!D2:D1000,A16,'검수 워크시트'!M2:M1000,"Edit")</f>
        <v>0</v>
      </c>
      <c r="F16" s="12" t="n">
        <f aca="false">COUNTIFS('검수 워크시트'!D2:D1000,A16,'검수 워크시트'!M2:M1000,"Reject")</f>
        <v>0</v>
      </c>
      <c r="G16" s="19" t="n">
        <f aca="false">IFERROR((D16+E16)/C16,0)</f>
        <v>1</v>
      </c>
    </row>
    <row r="17" customFormat="false" ht="15" hidden="false" customHeight="false" outlineLevel="0" collapsed="false">
      <c r="A17" s="12" t="n">
        <v>5</v>
      </c>
      <c r="B17" s="13" t="s">
        <v>103</v>
      </c>
      <c r="C17" s="12" t="n">
        <f aca="false">COUNTIF('검수 워크시트'!D2:D1000,A17)</f>
        <v>0</v>
      </c>
      <c r="D17" s="12" t="n">
        <f aca="false">COUNTIFS('검수 워크시트'!D2:D1000,A17,'검수 워크시트'!M2:M1000,"Accept")</f>
        <v>0</v>
      </c>
      <c r="E17" s="12" t="n">
        <f aca="false">COUNTIFS('검수 워크시트'!D2:D1000,A17,'검수 워크시트'!M2:M1000,"Edit")</f>
        <v>0</v>
      </c>
      <c r="F17" s="12" t="n">
        <f aca="false">COUNTIFS('검수 워크시트'!D2:D1000,A17,'검수 워크시트'!M2:M1000,"Reject")</f>
        <v>0</v>
      </c>
      <c r="G17" s="19" t="n">
        <f aca="false">IFERROR((D17+E17)/C17,0)</f>
        <v>0</v>
      </c>
    </row>
    <row r="18" customFormat="false" ht="15" hidden="false" customHeight="false" outlineLevel="0" collapsed="false">
      <c r="A18" s="12" t="n">
        <v>6</v>
      </c>
      <c r="B18" s="13" t="s">
        <v>108</v>
      </c>
      <c r="C18" s="12" t="n">
        <f aca="false">COUNTIF('검수 워크시트'!D2:D1000,A18)</f>
        <v>0</v>
      </c>
      <c r="D18" s="12" t="n">
        <f aca="false">COUNTIFS('검수 워크시트'!D2:D1000,A18,'검수 워크시트'!M2:M1000,"Accept")</f>
        <v>0</v>
      </c>
      <c r="E18" s="12" t="n">
        <f aca="false">COUNTIFS('검수 워크시트'!D2:D1000,A18,'검수 워크시트'!M2:M1000,"Edit")</f>
        <v>0</v>
      </c>
      <c r="F18" s="12" t="n">
        <f aca="false">COUNTIFS('검수 워크시트'!D2:D1000,A18,'검수 워크시트'!M2:M1000,"Reject")</f>
        <v>0</v>
      </c>
      <c r="G18" s="19" t="n">
        <f aca="false">IFERROR((D18+E18)/C18,0)</f>
        <v>0</v>
      </c>
    </row>
    <row r="19" customFormat="false" ht="15" hidden="false" customHeight="false" outlineLevel="0" collapsed="false">
      <c r="A19" s="12" t="n">
        <v>7</v>
      </c>
      <c r="B19" s="13" t="s">
        <v>113</v>
      </c>
      <c r="C19" s="12" t="n">
        <f aca="false">COUNTIF('검수 워크시트'!D2:D1000,A19)</f>
        <v>1</v>
      </c>
      <c r="D19" s="12" t="n">
        <f aca="false">COUNTIFS('검수 워크시트'!D2:D1000,A19,'검수 워크시트'!M2:M1000,"Accept")</f>
        <v>0</v>
      </c>
      <c r="E19" s="12" t="n">
        <f aca="false">COUNTIFS('검수 워크시트'!D2:D1000,A19,'검수 워크시트'!M2:M1000,"Edit")</f>
        <v>0</v>
      </c>
      <c r="F19" s="12" t="n">
        <f aca="false">COUNTIFS('검수 워크시트'!D2:D1000,A19,'검수 워크시트'!M2:M1000,"Reject")</f>
        <v>1</v>
      </c>
      <c r="G19" s="19" t="n">
        <f aca="false">IFERROR((D19+E19)/C19,0)</f>
        <v>0</v>
      </c>
    </row>
    <row r="20" customFormat="false" ht="15" hidden="false" customHeight="false" outlineLevel="0" collapsed="false">
      <c r="A20" s="12" t="n">
        <v>8</v>
      </c>
      <c r="B20" s="13" t="s">
        <v>116</v>
      </c>
      <c r="C20" s="12" t="n">
        <f aca="false">COUNTIF('검수 워크시트'!D2:D1000,A20)</f>
        <v>0</v>
      </c>
      <c r="D20" s="12" t="n">
        <f aca="false">COUNTIFS('검수 워크시트'!D2:D1000,A20,'검수 워크시트'!M2:M1000,"Accept")</f>
        <v>0</v>
      </c>
      <c r="E20" s="12" t="n">
        <f aca="false">COUNTIFS('검수 워크시트'!D2:D1000,A20,'검수 워크시트'!M2:M1000,"Edit")</f>
        <v>0</v>
      </c>
      <c r="F20" s="12" t="n">
        <f aca="false">COUNTIFS('검수 워크시트'!D2:D1000,A20,'검수 워크시트'!M2:M1000,"Reject")</f>
        <v>0</v>
      </c>
      <c r="G20" s="19" t="n">
        <f aca="false">IFERROR((D20+E20)/C20,0)</f>
        <v>0</v>
      </c>
    </row>
    <row r="21" customFormat="false" ht="15" hidden="false" customHeight="false" outlineLevel="0" collapsed="false">
      <c r="A21" s="12" t="n">
        <v>9</v>
      </c>
      <c r="B21" s="13" t="s">
        <v>119</v>
      </c>
      <c r="C21" s="12" t="n">
        <f aca="false">COUNTIF('검수 워크시트'!D2:D1000,A21)</f>
        <v>0</v>
      </c>
      <c r="D21" s="12" t="n">
        <f aca="false">COUNTIFS('검수 워크시트'!D2:D1000,A21,'검수 워크시트'!M2:M1000,"Accept")</f>
        <v>0</v>
      </c>
      <c r="E21" s="12" t="n">
        <f aca="false">COUNTIFS('검수 워크시트'!D2:D1000,A21,'검수 워크시트'!M2:M1000,"Edit")</f>
        <v>0</v>
      </c>
      <c r="F21" s="12" t="n">
        <f aca="false">COUNTIFS('검수 워크시트'!D2:D1000,A21,'검수 워크시트'!M2:M1000,"Reject")</f>
        <v>0</v>
      </c>
      <c r="G21" s="19" t="n">
        <f aca="false">IFERROR((D21+E21)/C21,0)</f>
        <v>0</v>
      </c>
    </row>
    <row r="23" customFormat="false" ht="15" hidden="false" customHeight="false" outlineLevel="0" collapsed="false">
      <c r="A23" s="9" t="s">
        <v>176</v>
      </c>
    </row>
    <row r="24" customFormat="false" ht="15" hidden="false" customHeight="false" outlineLevel="0" collapsed="false">
      <c r="A24" s="17" t="s">
        <v>83</v>
      </c>
      <c r="B24" s="18" t="s">
        <v>84</v>
      </c>
      <c r="C24" s="18" t="s">
        <v>174</v>
      </c>
      <c r="D24" s="17" t="s">
        <v>27</v>
      </c>
      <c r="E24" s="17" t="s">
        <v>170</v>
      </c>
      <c r="F24" s="17" t="s">
        <v>45</v>
      </c>
      <c r="G24" s="18" t="s">
        <v>175</v>
      </c>
    </row>
    <row r="25" customFormat="false" ht="15" hidden="false" customHeight="false" outlineLevel="0" collapsed="false">
      <c r="A25" s="12" t="s">
        <v>22</v>
      </c>
      <c r="B25" s="13" t="s">
        <v>88</v>
      </c>
      <c r="C25" s="12" t="n">
        <f aca="false">COUNTIF('검수 워크시트'!F2:F1000,A25)</f>
        <v>1</v>
      </c>
      <c r="D25" s="12" t="n">
        <f aca="false">COUNTIFS('검수 워크시트'!F2:F1000,A25,'검수 워크시트'!M2:M1000,"Accept")</f>
        <v>1</v>
      </c>
      <c r="E25" s="12" t="n">
        <f aca="false">COUNTIFS('검수 워크시트'!F2:F1000,A25,'검수 워크시트'!M2:M1000,"Edit")</f>
        <v>0</v>
      </c>
      <c r="F25" s="12" t="n">
        <f aca="false">COUNTIFS('검수 워크시트'!F2:F1000,A25,'검수 워크시트'!M2:M1000,"Reject")</f>
        <v>0</v>
      </c>
      <c r="G25" s="19" t="n">
        <f aca="false">IFERROR((D25+E25)/C25,0)</f>
        <v>1</v>
      </c>
    </row>
    <row r="26" customFormat="false" ht="15" hidden="false" customHeight="false" outlineLevel="0" collapsed="false">
      <c r="A26" s="12" t="s">
        <v>35</v>
      </c>
      <c r="B26" s="13" t="s">
        <v>92</v>
      </c>
      <c r="C26" s="12" t="n">
        <f aca="false">COUNTIF('검수 워크시트'!F2:F1000,A26)</f>
        <v>1</v>
      </c>
      <c r="D26" s="12" t="n">
        <f aca="false">COUNTIFS('검수 워크시트'!F2:F1000,A26,'검수 워크시트'!M2:M1000,"Accept")</f>
        <v>1</v>
      </c>
      <c r="E26" s="12" t="n">
        <f aca="false">COUNTIFS('검수 워크시트'!F2:F1000,A26,'검수 워크시트'!M2:M1000,"Edit")</f>
        <v>0</v>
      </c>
      <c r="F26" s="12" t="n">
        <f aca="false">COUNTIFS('검수 워크시트'!F2:F1000,A26,'검수 워크시트'!M2:M1000,"Reject")</f>
        <v>0</v>
      </c>
      <c r="G26" s="19" t="n">
        <f aca="false">IFERROR((D26+E26)/C26,0)</f>
        <v>1</v>
      </c>
    </row>
    <row r="27" customFormat="false" ht="15" hidden="false" customHeight="false" outlineLevel="0" collapsed="false">
      <c r="A27" s="12" t="s">
        <v>96</v>
      </c>
      <c r="B27" s="13" t="s">
        <v>97</v>
      </c>
      <c r="C27" s="12" t="n">
        <f aca="false">COUNTIF('검수 워크시트'!F2:F1000,A27)</f>
        <v>0</v>
      </c>
      <c r="D27" s="12" t="n">
        <f aca="false">COUNTIFS('검수 워크시트'!F2:F1000,A27,'검수 워크시트'!M2:M1000,"Accept")</f>
        <v>0</v>
      </c>
      <c r="E27" s="12" t="n">
        <f aca="false">COUNTIFS('검수 워크시트'!F2:F1000,A27,'검수 워크시트'!M2:M1000,"Edit")</f>
        <v>0</v>
      </c>
      <c r="F27" s="12" t="n">
        <f aca="false">COUNTIFS('검수 워크시트'!F2:F1000,A27,'검수 워크시트'!M2:M1000,"Reject")</f>
        <v>0</v>
      </c>
      <c r="G27" s="19" t="n">
        <f aca="false">IFERROR((D27+E27)/C27,0)</f>
        <v>0</v>
      </c>
    </row>
    <row r="28" customFormat="false" ht="15" hidden="false" customHeight="false" outlineLevel="0" collapsed="false">
      <c r="A28" s="12" t="s">
        <v>42</v>
      </c>
      <c r="B28" s="13" t="s">
        <v>101</v>
      </c>
      <c r="C28" s="12" t="n">
        <f aca="false">COUNTIF('검수 워크시트'!F2:F1000,A28)</f>
        <v>1</v>
      </c>
      <c r="D28" s="12" t="n">
        <f aca="false">COUNTIFS('검수 워크시트'!F2:F1000,A28,'검수 워크시트'!M2:M1000,"Accept")</f>
        <v>0</v>
      </c>
      <c r="E28" s="12" t="n">
        <f aca="false">COUNTIFS('검수 워크시트'!F2:F1000,A28,'검수 워크시트'!M2:M1000,"Edit")</f>
        <v>0</v>
      </c>
      <c r="F28" s="12" t="n">
        <f aca="false">COUNTIFS('검수 워크시트'!F2:F1000,A28,'검수 워크시트'!M2:M1000,"Reject")</f>
        <v>1</v>
      </c>
      <c r="G28" s="19" t="n">
        <f aca="false">IFERROR((D28+E28)/C28,0)</f>
        <v>0</v>
      </c>
    </row>
    <row r="29" customFormat="false" ht="15" hidden="false" customHeight="false" outlineLevel="0" collapsed="false">
      <c r="A29" s="12" t="s">
        <v>104</v>
      </c>
      <c r="B29" s="13" t="s">
        <v>105</v>
      </c>
      <c r="C29" s="12" t="n">
        <f aca="false">COUNTIF('검수 워크시트'!F2:F1000,A29)</f>
        <v>0</v>
      </c>
      <c r="D29" s="12" t="n">
        <f aca="false">COUNTIFS('검수 워크시트'!F2:F1000,A29,'검수 워크시트'!M2:M1000,"Accept")</f>
        <v>0</v>
      </c>
      <c r="E29" s="12" t="n">
        <f aca="false">COUNTIFS('검수 워크시트'!F2:F1000,A29,'검수 워크시트'!M2:M1000,"Edit")</f>
        <v>0</v>
      </c>
      <c r="F29" s="12" t="n">
        <f aca="false">COUNTIFS('검수 워크시트'!F2:F1000,A29,'검수 워크시트'!M2:M1000,"Reject")</f>
        <v>0</v>
      </c>
      <c r="G29" s="19" t="n">
        <f aca="false">IFERROR((D29+E29)/C29,0)</f>
        <v>0</v>
      </c>
    </row>
    <row r="30" customFormat="false" ht="15" hidden="false" customHeight="false" outlineLevel="0" collapsed="false">
      <c r="A30" s="12" t="s">
        <v>109</v>
      </c>
      <c r="B30" s="13" t="s">
        <v>110</v>
      </c>
      <c r="C30" s="12" t="n">
        <f aca="false">COUNTIF('검수 워크시트'!F2:F1000,A30)</f>
        <v>0</v>
      </c>
      <c r="D30" s="12" t="n">
        <f aca="false">COUNTIFS('검수 워크시트'!F2:F1000,A30,'검수 워크시트'!M2:M1000,"Accept")</f>
        <v>0</v>
      </c>
      <c r="E30" s="12" t="n">
        <f aca="false">COUNTIFS('검수 워크시트'!F2:F1000,A30,'검수 워크시트'!M2:M1000,"Edit")</f>
        <v>0</v>
      </c>
      <c r="F30" s="12" t="n">
        <f aca="false">COUNTIFS('검수 워크시트'!F2:F1000,A30,'검수 워크시트'!M2:M1000,"Reject")</f>
        <v>0</v>
      </c>
      <c r="G30" s="19" t="n">
        <f aca="false">IFERROR((D30+E30)/C30,0)</f>
        <v>0</v>
      </c>
    </row>
    <row r="33" customFormat="false" ht="15" hidden="false" customHeight="false" outlineLevel="0" collapsed="false">
      <c r="A33" s="6" t="s">
        <v>177</v>
      </c>
    </row>
    <row r="34" customFormat="false" ht="15" hidden="false" customHeight="false" outlineLevel="0" collapsed="false">
      <c r="A34" s="0" t="s">
        <v>178</v>
      </c>
      <c r="B34" s="0" t="n">
        <f aca="false">COUNTIF('검수 워크시트'!H2:H1000,TRUE())</f>
        <v>0</v>
      </c>
    </row>
    <row r="35" customFormat="false" ht="15" hidden="false" customHeight="false" outlineLevel="0" collapsed="false">
      <c r="A35" s="15" t="s">
        <v>179</v>
      </c>
      <c r="B35" s="16" t="n">
        <f aca="false">IFERROR(B34/B4,0)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2026-05-26T07:49:10Z</dcterms:created>
  <dc:creator>openpyxl</dc:creator>
  <dc:description/>
  <dc:language>en-US</dc:language>
  <cp:lastModifiedBy/>
  <dcterms:modified xsi:type="dcterms:W3CDTF">2026-05-26T07:49:10Z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